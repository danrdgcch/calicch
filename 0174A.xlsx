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522" documentId="8_{E24A1E95-E706-477B-A43D-A808747255E2}" xr6:coauthVersionLast="47" xr6:coauthVersionMax="47" xr10:uidLastSave="{B57943B1-3123-48FC-B4B5-2B742B97FC40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2" l="1"/>
  <c r="K3" i="2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 s="1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 s="1"/>
  <c r="W10" i="2"/>
  <c r="K11" i="2"/>
  <c r="O11" i="2"/>
  <c r="R11" i="2"/>
  <c r="S11" i="2" s="1"/>
  <c r="W11" i="2"/>
  <c r="K12" i="2"/>
  <c r="O12" i="2"/>
  <c r="R12" i="2"/>
  <c r="S12" i="2" s="1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O16" i="2"/>
  <c r="R16" i="2"/>
  <c r="S16" i="2" s="1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K26" i="2"/>
  <c r="O26" i="2"/>
  <c r="R26" i="2"/>
  <c r="S26" i="2" s="1"/>
  <c r="W26" i="2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7" i="2"/>
  <c r="E44" i="2"/>
  <c r="E43" i="2"/>
  <c r="E42" i="2"/>
  <c r="E41" i="2"/>
  <c r="E40" i="2"/>
  <c r="E39" i="2"/>
  <c r="E38" i="2"/>
  <c r="E36" i="2"/>
  <c r="E35" i="2"/>
  <c r="E34" i="2"/>
  <c r="E33" i="2" l="1"/>
  <c r="P8" i="2"/>
  <c r="F8" i="2" s="1"/>
  <c r="P17" i="2"/>
  <c r="F17" i="2" s="1"/>
  <c r="P6" i="2"/>
  <c r="F6" i="2" s="1"/>
  <c r="P14" i="2"/>
  <c r="F14" i="2" s="1"/>
  <c r="P15" i="2"/>
  <c r="F15" i="2" s="1"/>
  <c r="P3" i="2"/>
  <c r="F3" i="2" s="1"/>
  <c r="P12" i="2"/>
  <c r="F12" i="2" s="1"/>
  <c r="P9" i="2"/>
  <c r="F9" i="2" s="1"/>
  <c r="P26" i="2"/>
  <c r="F26" i="2" s="1"/>
  <c r="P4" i="2"/>
  <c r="F4" i="2" s="1"/>
  <c r="P7" i="2"/>
  <c r="F7" i="2" s="1"/>
  <c r="P10" i="2"/>
  <c r="F10" i="2" s="1"/>
  <c r="P13" i="2"/>
  <c r="F13" i="2" s="1"/>
  <c r="P19" i="2"/>
  <c r="F19" i="2" s="1"/>
  <c r="P24" i="2"/>
  <c r="F24" i="2" s="1"/>
  <c r="P18" i="2"/>
  <c r="F18" i="2" s="1"/>
  <c r="P16" i="2"/>
  <c r="F16" i="2" s="1"/>
  <c r="P5" i="2"/>
  <c r="F5" i="2" s="1"/>
  <c r="P23" i="2"/>
  <c r="F23" i="2" s="1"/>
  <c r="P11" i="2"/>
  <c r="F11" i="2" s="1"/>
  <c r="P22" i="2"/>
  <c r="F22" i="2" s="1"/>
  <c r="P25" i="2"/>
  <c r="F25" i="2" s="1"/>
  <c r="P21" i="2"/>
  <c r="F21" i="2" s="1"/>
  <c r="P2" i="2"/>
  <c r="F2" i="2" s="1"/>
  <c r="P20" i="2"/>
  <c r="F20" i="2" s="1"/>
  <c r="F36" i="2" l="1"/>
  <c r="F34" i="2"/>
  <c r="F37" i="2"/>
  <c r="F35" i="2"/>
  <c r="F3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tc={1C47F22B-0B44-43E8-A94E-56037721B0C6}</author>
    <author>tc={9A8043DD-5056-46A0-A03C-172F9926461D}</author>
    <author>tc={1D53E122-D56A-4C3A-A474-00E06E1B8003}</author>
    <author>tc={DD077846-B973-4E9F-95E4-38D99A6AAF7E}</author>
  </authors>
  <commentList>
    <comment ref="J6" authorId="0" shapeId="0" xr:uid="{1C47F22B-0B44-43E8-A94E-56037721B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Justificante por enterga documental</t>
      </text>
    </comment>
    <comment ref="J12" authorId="1" shapeId="0" xr:uid="{9A8043DD-5056-46A0-A03C-172F99264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por entrega documental</t>
      </text>
    </comment>
    <comment ref="J18" authorId="2" shapeId="0" xr:uid="{1D53E122-D56A-4C3A-A474-00E06E1B80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por entrega documental</t>
      </text>
    </comment>
    <comment ref="J24" authorId="3" shapeId="0" xr:uid="{DD077846-B973-4E9F-95E4-38D99A6AAF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Justificante </t>
      </text>
    </comment>
  </commentList>
</comments>
</file>

<file path=xl/sharedStrings.xml><?xml version="1.0" encoding="utf-8"?>
<sst xmlns="http://schemas.openxmlformats.org/spreadsheetml/2006/main" count="224" uniqueCount="195">
  <si>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</si>
  <si>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</si>
  <si>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</si>
  <si>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</si>
  <si>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</si>
  <si>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</si>
  <si>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</si>
  <si>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</si>
  <si>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</si>
  <si>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</si>
  <si>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</si>
  <si>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</si>
  <si>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</si>
  <si>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</si>
  <si>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</si>
  <si>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</si>
  <si>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</si>
  <si>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</si>
  <si>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</si>
  <si>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</si>
  <si>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</si>
  <si>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</si>
  <si>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</si>
  <si>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</si>
  <si>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</si>
  <si>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</si>
  <si>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</si>
  <si>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</si>
  <si>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</si>
  <si>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</si>
  <si>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</si>
  <si>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</si>
  <si>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</si>
  <si>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</si>
  <si>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</si>
  <si>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</si>
  <si>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</si>
  <si>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</si>
  <si>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</si>
  <si>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</si>
  <si>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</si>
  <si>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</si>
  <si>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</si>
  <si>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</si>
  <si>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</si>
  <si>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</si>
  <si>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</si>
  <si>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</si>
  <si>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</si>
  <si>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</si>
  <si>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</si>
  <si>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</si>
  <si>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</si>
  <si>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</si>
  <si>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</si>
  <si>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</si>
  <si>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</si>
  <si>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</si>
  <si>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</si>
  <si>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</si>
  <si>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</si>
  <si>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</si>
  <si>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</si>
  <si>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</si>
  <si>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</si>
  <si>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</si>
  <si>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</si>
  <si>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</si>
  <si>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</si>
  <si>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</si>
  <si>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</si>
  <si>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</si>
  <si>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</si>
  <si>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</si>
  <si>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</si>
  <si>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</si>
  <si>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</si>
  <si>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</si>
  <si>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</si>
  <si>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</si>
  <si>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</si>
  <si>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</si>
  <si>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</si>
  <si>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</si>
  <si>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</si>
  <si>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</si>
  <si>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</si>
  <si>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</si>
  <si>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</si>
  <si>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</si>
  <si>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</si>
  <si>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</si>
  <si>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</si>
  <si>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</si>
  <si>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</si>
  <si>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</si>
  <si>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</si>
  <si>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</si>
  <si>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</si>
  <si>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</si>
  <si>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</si>
  <si>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</si>
  <si>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</si>
  <si>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</si>
  <si>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</si>
  <si>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</si>
  <si>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</si>
  <si>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</si>
  <si>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</si>
  <si>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</si>
  <si>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</si>
  <si>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</si>
  <si>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</si>
  <si>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</si>
  <si>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</si>
  <si>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</si>
  <si>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</si>
  <si>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</si>
  <si>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</si>
  <si>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</si>
  <si>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</si>
  <si>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</si>
  <si>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</si>
  <si>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</si>
  <si>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</si>
  <si>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</si>
  <si>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</si>
  <si>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</si>
  <si>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</si>
  <si>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</si>
  <si>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</si>
  <si>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</si>
  <si>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</si>
  <si>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</si>
  <si>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</si>
  <si>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</si>
  <si>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</si>
  <si>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AVILA RODRIGUEZ ARITSI RUBI</t>
  </si>
  <si>
    <t>AYALA URBANO MARIA JOSE</t>
  </si>
  <si>
    <t>BARAJAS MARTINEZ KARLA ANDREA</t>
  </si>
  <si>
    <t>CABRERA DELGADILLO FANNY CRISTEN</t>
  </si>
  <si>
    <t>CONTRERAS VILLAFRANCA MARIA XIMENA</t>
  </si>
  <si>
    <t>CORTEZ SANCHEZ ATZIRI JOHANA</t>
  </si>
  <si>
    <t>DIAZ ARMENTA ALISON</t>
  </si>
  <si>
    <t>GARCIA HERNANDEZ DALILA</t>
  </si>
  <si>
    <t>GONZALEZ GUTIERREZ KAREN VALENTINA</t>
  </si>
  <si>
    <t>HEREDIA TREJO CAMILA</t>
  </si>
  <si>
    <t>HERNANDEZ SANCHEZ ABRAHAM ISAI</t>
  </si>
  <si>
    <t>HERNANDEZ YERENA JOSELIN AIDE</t>
  </si>
  <si>
    <t>LOPEZ OCEGUEDA CAMILA ATZIRI</t>
  </si>
  <si>
    <t>MARTINEZ MARCIAL BITHIAN AIDE</t>
  </si>
  <si>
    <t>MATIAS MIGUEL ALEJANDRO</t>
  </si>
  <si>
    <t>MEDINA MURILLO ANGEL JOSHUA</t>
  </si>
  <si>
    <t>MELENDEZ LOPEZ DIEGO DEREK</t>
  </si>
  <si>
    <t>MINO ROMERO SANTIAGO NICOLAS</t>
  </si>
  <si>
    <t>MORAN SOTO MIGUEL ALEJANDRO</t>
  </si>
  <si>
    <t>MORONES CHILPA MAXIMILIANO ANTONIO</t>
  </si>
  <si>
    <t>ORTEGA MARTINEZ JAVIER</t>
  </si>
  <si>
    <t>RAZO DURAN JULIETA</t>
  </si>
  <si>
    <t>REYES SERRANO DANTE</t>
  </si>
  <si>
    <t>RUIZ LARA RAMSESS ISAI</t>
  </si>
  <si>
    <t>TELLEZ NAJERA FABIAN ALESSANDRO</t>
  </si>
  <si>
    <t>ARITSI</t>
  </si>
  <si>
    <t>MARIA</t>
  </si>
  <si>
    <t>KARLA</t>
  </si>
  <si>
    <t>FANNY</t>
  </si>
  <si>
    <t>ATZIRI</t>
  </si>
  <si>
    <t>KAREN</t>
  </si>
  <si>
    <t>ABRAHAM</t>
  </si>
  <si>
    <t>JOSELIN</t>
  </si>
  <si>
    <t>CAMILA</t>
  </si>
  <si>
    <t>BITHIAN</t>
  </si>
  <si>
    <t>MIGUEL</t>
  </si>
  <si>
    <t>ANGEL</t>
  </si>
  <si>
    <t>DIEGO</t>
  </si>
  <si>
    <t>SANTIAGO</t>
  </si>
  <si>
    <t>MAXIMILIANO</t>
  </si>
  <si>
    <t>RAMSESS</t>
  </si>
  <si>
    <t>FABIAN</t>
  </si>
  <si>
    <t>ALISON</t>
  </si>
  <si>
    <t>DALILA</t>
  </si>
  <si>
    <t>ALEJANDRO</t>
  </si>
  <si>
    <t>JAVIER</t>
  </si>
  <si>
    <t>JULIETA</t>
  </si>
  <si>
    <t>DANTE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</si>
  <si>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</si>
  <si>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</si>
  <si>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</si>
  <si>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</si>
  <si>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</si>
  <si>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viernes, 18, septiembre</t>
  </si>
  <si>
    <t>miércoles, 23, septiembre</t>
  </si>
  <si>
    <t>lunes, 07, septiembre2</t>
  </si>
  <si>
    <t>viernes, 09, octubre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</si>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</sst>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5DC5A42B-B56E-3440-8EB8-6AD0D6294FBB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miércoles, 23, septiembre" dataDxfId="102"/>
    <tableColumn id="42" xr3:uid="{DB4B7182-F11E-4656-8E00-EA9D8A3EF868}" name="lunes, 07, septiembre2" dataDxfId="101"/>
    <tableColumn id="43" xr3:uid="{33AFD5C8-013B-40DE-961C-6C7410B13DCF}" name="viernes, 09, octu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6" dT="2026-09-17T15:11:31.70" personId="{5DC5A42B-B56E-3440-8EB8-6AD0D6294FBB}" id="{1C47F22B-0B44-43E8-A94E-56037721B0C6}">
    <text>Justificante por enterga documental</text>
  </threadedComment>
  <threadedComment ref="J12" dT="2026-09-17T15:11:53.74" personId="{5DC5A42B-B56E-3440-8EB8-6AD0D6294FBB}" id="{9A8043DD-5056-46A0-A03C-172F9926461D}">
    <text>Cita por entrega documental</text>
  </threadedComment>
  <threadedComment ref="J18" dT="2026-09-17T15:12:18.10" personId="{5DC5A42B-B56E-3440-8EB8-6AD0D6294FBB}" id="{1D53E122-D56A-4C3A-A474-00E06E1B8003}">
    <text>Cita por entrega documental</text>
  </threadedComment>
  <threadedComment ref="J24" dT="2026-09-17T15:13:02.84" personId="{5DC5A42B-B56E-3440-8EB8-6AD0D6294FBB}" id="{DD077846-B973-4E9F-95E4-38D99A6AAF7E}">
    <text xml:space="preserve">Justificante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6"/>
  <sheetViews>
    <sheetView tabSelected="1" topLeftCell="B1" zoomScale="108" zoomScaleNormal="145" workbookViewId="0">
      <selection activeCell="G9" sqref="G9"/>
    </sheetView>
  </sheetViews>
  <sheetFormatPr baseColWidth="10" defaultColWidth="10.7265625" defaultRowHeight="14.5" x14ac:dyDescent="0.35"/>
  <cols>
    <col min="1" max="1" width="12.81640625" customWidth="1"/>
    <col min="2" max="2" width="41.54296875" style="15" customWidth="1"/>
    <col min="3" max="3" width="14.81640625" style="15" hidden="1" customWidth="1"/>
    <col min="4" max="4" width="8.90625" style="16" hidden="1" customWidth="1"/>
    <col min="5" max="5" width="8.1796875" style="15" hidden="1" customWidth="1"/>
    <col min="6" max="6" width="7.81640625" hidden="1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7" width="10.7265625" customWidth="1"/>
    <col min="18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327150549</v>
      </c>
      <c r="B2" s="4" t="s">
        <v>137</v>
      </c>
      <c r="C2" s="4" t="s">
        <v>162</v>
      </c>
      <c r="D2" s="8">
        <f>Tabla1[[#This Row],[Porcentaje de Asistencia]]</f>
        <v>1</v>
      </c>
      <c r="E2" s="9"/>
      <c r="F2" s="10">
        <f>IFERROR(IF(OR(K2="NP",P2="NP",S2="NP",W2="NP"),"NP",K2+P2+S2+W2+X2),0)</f>
        <v>5.5150000000000006</v>
      </c>
      <c r="G2" s="11">
        <v>11</v>
      </c>
      <c r="H2" s="11"/>
      <c r="I2" s="11"/>
      <c r="J2" s="11"/>
      <c r="K2" s="12">
        <f t="shared" ref="K2:K26" si="0">IF(OR(G2="NP", H2="NP", I2="NP"), "NP", ((G2*$E$31/$E$32) + (I2*$E$31/$E$32) + (H2*$E$31/$E$32)+(J2*$E$31/$E$32))/10)</f>
        <v>1.8333333333333333</v>
      </c>
      <c r="L2" s="11">
        <v>22</v>
      </c>
      <c r="M2" s="11"/>
      <c r="N2" s="2"/>
      <c r="O2" s="11">
        <f>SUM(L2:N2)</f>
        <v>22</v>
      </c>
      <c r="P2" s="12">
        <f>IFERROR((O2*2)/MAX($O$2:$O$25),0)</f>
        <v>1.4666666666666666</v>
      </c>
      <c r="Q2" s="11">
        <v>2.9</v>
      </c>
      <c r="R2" s="13">
        <f>IFERROR(AVERAGE(Q2:Q2),0)</f>
        <v>2.9</v>
      </c>
      <c r="S2" s="14">
        <f>R2*0.15</f>
        <v>0.435</v>
      </c>
      <c r="T2" s="11">
        <v>8.9</v>
      </c>
      <c r="U2" s="11"/>
      <c r="V2" s="11"/>
      <c r="W2" s="14">
        <f>IFERROR(AVERAGE(T2:V2)*0.2,0)</f>
        <v>1.7800000000000002</v>
      </c>
      <c r="X2" s="14"/>
    </row>
    <row r="3" spans="1:24" ht="15" customHeight="1" x14ac:dyDescent="0.35">
      <c r="A3" s="3">
        <v>327260453</v>
      </c>
      <c r="B3" s="4" t="s">
        <v>138</v>
      </c>
      <c r="C3" s="4" t="s">
        <v>163</v>
      </c>
      <c r="D3" s="8">
        <f>Tabla1[[#This Row],[Porcentaje de Asistencia]]</f>
        <v>1</v>
      </c>
      <c r="E3" s="9"/>
      <c r="F3" s="10">
        <f t="shared" ref="F3:F26" si="1">IFERROR(IF(OR(K3="NP",P3="NP",S3="NP",W3="NP"),"NP",K3+P3+S3+W3+X3),0)</f>
        <v>5.1466666666666665</v>
      </c>
      <c r="G3" s="11">
        <v>7</v>
      </c>
      <c r="H3" s="11"/>
      <c r="I3" s="11"/>
      <c r="J3" s="11"/>
      <c r="K3" s="12">
        <f t="shared" si="0"/>
        <v>1.1666666666666665</v>
      </c>
      <c r="L3" s="11">
        <v>18</v>
      </c>
      <c r="M3" s="11"/>
      <c r="N3" s="2"/>
      <c r="O3" s="11">
        <f t="shared" ref="O3:O26" si="2">SUM(L3:N3)</f>
        <v>18</v>
      </c>
      <c r="P3" s="12">
        <f t="shared" ref="P3:P26" si="3">IFERROR((O3*2)/MAX($O$2:$O$25),0)</f>
        <v>1.2</v>
      </c>
      <c r="Q3" s="11">
        <v>7.2</v>
      </c>
      <c r="R3" s="13">
        <f t="shared" ref="R3:R26" si="4">IFERROR(AVERAGE(Q3:Q3),0)</f>
        <v>7.2</v>
      </c>
      <c r="S3" s="14">
        <f t="shared" ref="S3:S26" si="5">R3*0.15</f>
        <v>1.08</v>
      </c>
      <c r="T3" s="11">
        <v>8.5</v>
      </c>
      <c r="U3" s="11"/>
      <c r="V3" s="11"/>
      <c r="W3" s="14">
        <f t="shared" ref="W3:W26" si="6">IFERROR(AVERAGE(T3:V3)*0.2,0)</f>
        <v>1.7000000000000002</v>
      </c>
      <c r="X3" s="14"/>
    </row>
    <row r="4" spans="1:24" ht="15" customHeight="1" x14ac:dyDescent="0.35">
      <c r="A4" s="3">
        <v>327136844</v>
      </c>
      <c r="B4" s="4" t="s">
        <v>139</v>
      </c>
      <c r="C4" s="4" t="s">
        <v>164</v>
      </c>
      <c r="D4" s="8">
        <f>Tabla1[[#This Row],[Porcentaje de Asistencia]]</f>
        <v>1</v>
      </c>
      <c r="E4" s="9"/>
      <c r="F4" s="10">
        <f t="shared" si="1"/>
        <v>5.8149999999999995</v>
      </c>
      <c r="G4" s="11">
        <v>9</v>
      </c>
      <c r="H4" s="11"/>
      <c r="I4" s="11"/>
      <c r="J4" s="11"/>
      <c r="K4" s="12">
        <f t="shared" si="0"/>
        <v>1.5</v>
      </c>
      <c r="L4" s="11">
        <v>18</v>
      </c>
      <c r="M4" s="11"/>
      <c r="N4" s="2"/>
      <c r="O4" s="11">
        <f t="shared" si="2"/>
        <v>18</v>
      </c>
      <c r="P4" s="12">
        <f t="shared" si="3"/>
        <v>1.2</v>
      </c>
      <c r="Q4" s="11">
        <v>8.5</v>
      </c>
      <c r="R4" s="13">
        <f t="shared" si="4"/>
        <v>8.5</v>
      </c>
      <c r="S4" s="14">
        <f t="shared" si="5"/>
        <v>1.2749999999999999</v>
      </c>
      <c r="T4" s="11">
        <v>9.1999999999999993</v>
      </c>
      <c r="U4" s="11"/>
      <c r="V4" s="11"/>
      <c r="W4" s="14">
        <f t="shared" si="6"/>
        <v>1.8399999999999999</v>
      </c>
      <c r="X4" s="14"/>
    </row>
    <row r="5" spans="1:24" ht="15" customHeight="1" x14ac:dyDescent="0.35">
      <c r="A5" s="3">
        <v>327314831</v>
      </c>
      <c r="B5" s="4" t="s">
        <v>140</v>
      </c>
      <c r="C5" s="4" t="s">
        <v>165</v>
      </c>
      <c r="D5" s="8">
        <f>Tabla1[[#This Row],[Porcentaje de Asistencia]]</f>
        <v>1</v>
      </c>
      <c r="E5" s="9"/>
      <c r="F5" s="10">
        <f t="shared" si="1"/>
        <v>5.1100000000000003</v>
      </c>
      <c r="G5" s="11">
        <v>9</v>
      </c>
      <c r="H5" s="11"/>
      <c r="I5" s="11"/>
      <c r="J5" s="11"/>
      <c r="K5" s="12">
        <f t="shared" si="0"/>
        <v>1.5</v>
      </c>
      <c r="L5" s="11">
        <v>18</v>
      </c>
      <c r="M5" s="11"/>
      <c r="N5" s="2"/>
      <c r="O5" s="11">
        <f t="shared" si="2"/>
        <v>18</v>
      </c>
      <c r="P5" s="12">
        <f t="shared" si="3"/>
        <v>1.2</v>
      </c>
      <c r="Q5" s="11">
        <v>4.2</v>
      </c>
      <c r="R5" s="13">
        <f t="shared" si="4"/>
        <v>4.2</v>
      </c>
      <c r="S5" s="14">
        <f t="shared" si="5"/>
        <v>0.63</v>
      </c>
      <c r="T5" s="11">
        <v>8.9</v>
      </c>
      <c r="U5" s="11"/>
      <c r="V5" s="11"/>
      <c r="W5" s="14">
        <f t="shared" si="6"/>
        <v>1.7800000000000002</v>
      </c>
      <c r="X5" s="14"/>
    </row>
    <row r="6" spans="1:24" ht="15" customHeight="1" x14ac:dyDescent="0.35">
      <c r="A6" s="3">
        <v>327339894</v>
      </c>
      <c r="B6" s="4" t="s">
        <v>141</v>
      </c>
      <c r="C6" s="4" t="s">
        <v>163</v>
      </c>
      <c r="D6" s="8">
        <f>Tabla1[[#This Row],[Porcentaje de Asistencia]]</f>
        <v>0.5</v>
      </c>
      <c r="E6" s="9"/>
      <c r="F6" s="10">
        <f t="shared" si="1"/>
        <v>4.5466666666666669</v>
      </c>
      <c r="G6" s="11">
        <v>5</v>
      </c>
      <c r="H6" s="11"/>
      <c r="I6" s="11"/>
      <c r="J6" s="11"/>
      <c r="K6" s="12">
        <f t="shared" si="0"/>
        <v>0.83333333333333337</v>
      </c>
      <c r="L6" s="11">
        <v>11</v>
      </c>
      <c r="M6" s="11"/>
      <c r="N6" s="2"/>
      <c r="O6" s="11">
        <f t="shared" si="2"/>
        <v>11</v>
      </c>
      <c r="P6" s="12">
        <f t="shared" si="3"/>
        <v>0.73333333333333328</v>
      </c>
      <c r="Q6" s="11">
        <v>8</v>
      </c>
      <c r="R6" s="13">
        <f t="shared" si="4"/>
        <v>8</v>
      </c>
      <c r="S6" s="14">
        <f t="shared" si="5"/>
        <v>1.2</v>
      </c>
      <c r="T6" s="11">
        <v>8.9</v>
      </c>
      <c r="U6" s="11"/>
      <c r="V6" s="11"/>
      <c r="W6" s="14">
        <f t="shared" si="6"/>
        <v>1.7800000000000002</v>
      </c>
      <c r="X6" s="14"/>
    </row>
    <row r="7" spans="1:24" ht="15" customHeight="1" x14ac:dyDescent="0.35">
      <c r="A7" s="3">
        <v>327221946</v>
      </c>
      <c r="B7" s="4" t="s">
        <v>142</v>
      </c>
      <c r="C7" s="4" t="s">
        <v>166</v>
      </c>
      <c r="D7" s="8">
        <f>Tabla1[[#This Row],[Porcentaje de Asistencia]]</f>
        <v>0.9</v>
      </c>
      <c r="E7" s="9"/>
      <c r="F7" s="10">
        <f t="shared" si="1"/>
        <v>3.8333333333333335</v>
      </c>
      <c r="G7" s="11">
        <v>4</v>
      </c>
      <c r="H7" s="11"/>
      <c r="I7" s="11"/>
      <c r="J7" s="11"/>
      <c r="K7" s="12">
        <f t="shared" si="0"/>
        <v>0.66666666666666674</v>
      </c>
      <c r="L7" s="11">
        <v>19</v>
      </c>
      <c r="M7" s="11"/>
      <c r="N7" s="2"/>
      <c r="O7" s="11">
        <f t="shared" si="2"/>
        <v>19</v>
      </c>
      <c r="P7" s="12">
        <f t="shared" si="3"/>
        <v>1.2666666666666666</v>
      </c>
      <c r="Q7" s="11">
        <v>0.8</v>
      </c>
      <c r="R7" s="13">
        <f t="shared" si="4"/>
        <v>0.8</v>
      </c>
      <c r="S7" s="14">
        <f t="shared" si="5"/>
        <v>0.12</v>
      </c>
      <c r="T7" s="11">
        <v>8.9</v>
      </c>
      <c r="U7" s="11"/>
      <c r="V7" s="11"/>
      <c r="W7" s="14">
        <f t="shared" si="6"/>
        <v>1.7800000000000002</v>
      </c>
      <c r="X7" s="14"/>
    </row>
    <row r="8" spans="1:24" ht="15" customHeight="1" x14ac:dyDescent="0.35">
      <c r="A8" s="3">
        <v>327186447</v>
      </c>
      <c r="B8" s="4" t="s">
        <v>143</v>
      </c>
      <c r="C8" s="4" t="s">
        <v>179</v>
      </c>
      <c r="D8" s="8">
        <f>Tabla1[[#This Row],[Porcentaje de Asistencia]]</f>
        <v>1</v>
      </c>
      <c r="E8" s="9"/>
      <c r="F8" s="10">
        <f t="shared" si="1"/>
        <v>5.7283333333333335</v>
      </c>
      <c r="G8" s="11">
        <v>11</v>
      </c>
      <c r="H8" s="11"/>
      <c r="I8" s="11"/>
      <c r="J8" s="11"/>
      <c r="K8" s="12">
        <f t="shared" si="0"/>
        <v>1.8333333333333333</v>
      </c>
      <c r="L8" s="11">
        <v>18</v>
      </c>
      <c r="M8" s="11"/>
      <c r="N8" s="2"/>
      <c r="O8" s="11">
        <f t="shared" si="2"/>
        <v>18</v>
      </c>
      <c r="P8" s="12">
        <f t="shared" si="3"/>
        <v>1.2</v>
      </c>
      <c r="Q8" s="11">
        <v>6.1</v>
      </c>
      <c r="R8" s="13">
        <f t="shared" si="4"/>
        <v>6.1</v>
      </c>
      <c r="S8" s="14">
        <f t="shared" si="5"/>
        <v>0.91499999999999992</v>
      </c>
      <c r="T8" s="11">
        <v>8.9</v>
      </c>
      <c r="U8" s="11"/>
      <c r="V8" s="11"/>
      <c r="W8" s="14">
        <f t="shared" si="6"/>
        <v>1.7800000000000002</v>
      </c>
      <c r="X8" s="14"/>
    </row>
    <row r="9" spans="1:24" ht="15" customHeight="1" x14ac:dyDescent="0.35">
      <c r="A9" s="3">
        <v>327211675</v>
      </c>
      <c r="B9" s="4" t="s">
        <v>144</v>
      </c>
      <c r="C9" s="4" t="s">
        <v>180</v>
      </c>
      <c r="D9" s="8">
        <f>Tabla1[[#This Row],[Porcentaje de Asistencia]]</f>
        <v>1</v>
      </c>
      <c r="E9" s="9"/>
      <c r="F9" s="10">
        <f t="shared" si="1"/>
        <v>3.0166666666666666</v>
      </c>
      <c r="G9" s="11">
        <v>1.5</v>
      </c>
      <c r="H9" s="11"/>
      <c r="I9" s="11"/>
      <c r="J9" s="11"/>
      <c r="K9" s="12">
        <f t="shared" si="0"/>
        <v>0.25</v>
      </c>
      <c r="L9" s="11">
        <v>16</v>
      </c>
      <c r="M9" s="11"/>
      <c r="N9" s="2"/>
      <c r="O9" s="11">
        <f t="shared" si="2"/>
        <v>16</v>
      </c>
      <c r="P9" s="12">
        <f t="shared" si="3"/>
        <v>1.0666666666666667</v>
      </c>
      <c r="Q9" s="11">
        <v>0</v>
      </c>
      <c r="R9" s="13">
        <f t="shared" si="4"/>
        <v>0</v>
      </c>
      <c r="S9" s="14">
        <f t="shared" si="5"/>
        <v>0</v>
      </c>
      <c r="T9" s="11">
        <v>8.5</v>
      </c>
      <c r="U9" s="11"/>
      <c r="V9" s="11"/>
      <c r="W9" s="14">
        <f t="shared" si="6"/>
        <v>1.7000000000000002</v>
      </c>
      <c r="X9" s="14"/>
    </row>
    <row r="10" spans="1:24" ht="15" customHeight="1" x14ac:dyDescent="0.35">
      <c r="A10" s="3">
        <v>327263447</v>
      </c>
      <c r="B10" s="4" t="s">
        <v>145</v>
      </c>
      <c r="C10" s="4" t="s">
        <v>167</v>
      </c>
      <c r="D10" s="8">
        <f>Tabla1[[#This Row],[Porcentaje de Asistencia]]</f>
        <v>0.8</v>
      </c>
      <c r="E10" s="9"/>
      <c r="F10" s="10">
        <f t="shared" si="1"/>
        <v>2.4333333333333336</v>
      </c>
      <c r="G10" s="11">
        <v>0</v>
      </c>
      <c r="H10" s="11"/>
      <c r="I10" s="11"/>
      <c r="J10" s="11"/>
      <c r="K10" s="12">
        <f t="shared" si="0"/>
        <v>0</v>
      </c>
      <c r="L10" s="11">
        <v>11</v>
      </c>
      <c r="M10" s="11"/>
      <c r="N10" s="2"/>
      <c r="O10" s="11">
        <f t="shared" si="2"/>
        <v>11</v>
      </c>
      <c r="P10" s="12">
        <f t="shared" si="3"/>
        <v>0.73333333333333328</v>
      </c>
      <c r="Q10" s="11">
        <v>0</v>
      </c>
      <c r="R10" s="13">
        <f t="shared" si="4"/>
        <v>0</v>
      </c>
      <c r="S10" s="14">
        <f t="shared" si="5"/>
        <v>0</v>
      </c>
      <c r="T10" s="11">
        <v>8.5</v>
      </c>
      <c r="U10" s="11"/>
      <c r="V10" s="11"/>
      <c r="W10" s="14">
        <f t="shared" si="6"/>
        <v>1.7000000000000002</v>
      </c>
      <c r="X10" s="14"/>
    </row>
    <row r="11" spans="1:24" ht="15" customHeight="1" x14ac:dyDescent="0.35">
      <c r="A11" s="3">
        <v>327213181</v>
      </c>
      <c r="B11" s="4" t="s">
        <v>146</v>
      </c>
      <c r="C11" s="4" t="s">
        <v>170</v>
      </c>
      <c r="D11" s="8">
        <f>Tabla1[[#This Row],[Porcentaje de Asistencia]]</f>
        <v>0.9</v>
      </c>
      <c r="E11" s="9"/>
      <c r="F11" s="10">
        <f t="shared" si="1"/>
        <v>4.663333333333334</v>
      </c>
      <c r="G11" s="11">
        <v>5</v>
      </c>
      <c r="H11" s="11"/>
      <c r="I11" s="11"/>
      <c r="J11" s="11"/>
      <c r="K11" s="12">
        <f t="shared" si="0"/>
        <v>0.83333333333333337</v>
      </c>
      <c r="L11" s="11">
        <v>30</v>
      </c>
      <c r="M11" s="11"/>
      <c r="N11" s="2"/>
      <c r="O11" s="11">
        <f t="shared" si="2"/>
        <v>30</v>
      </c>
      <c r="P11" s="12">
        <f t="shared" si="3"/>
        <v>2</v>
      </c>
      <c r="Q11" s="11">
        <v>7</v>
      </c>
      <c r="R11" s="13">
        <f t="shared" si="4"/>
        <v>7</v>
      </c>
      <c r="S11" s="14">
        <f t="shared" si="5"/>
        <v>1.05</v>
      </c>
      <c r="T11" s="11">
        <v>3.9</v>
      </c>
      <c r="U11" s="11"/>
      <c r="V11" s="11"/>
      <c r="W11" s="14">
        <f t="shared" si="6"/>
        <v>0.78</v>
      </c>
      <c r="X11" s="14"/>
    </row>
    <row r="12" spans="1:24" ht="15" customHeight="1" x14ac:dyDescent="0.35">
      <c r="A12" s="3">
        <v>327204350</v>
      </c>
      <c r="B12" s="4" t="s">
        <v>147</v>
      </c>
      <c r="C12" s="4" t="s">
        <v>168</v>
      </c>
      <c r="D12" s="8">
        <f>Tabla1[[#This Row],[Porcentaje de Asistencia]]</f>
        <v>1</v>
      </c>
      <c r="E12" s="9"/>
      <c r="F12" s="10">
        <f t="shared" si="1"/>
        <v>4.5600000000000005</v>
      </c>
      <c r="G12" s="11">
        <v>8</v>
      </c>
      <c r="H12" s="11"/>
      <c r="I12" s="11"/>
      <c r="J12" s="11"/>
      <c r="K12" s="12">
        <f t="shared" si="0"/>
        <v>1.3333333333333335</v>
      </c>
      <c r="L12" s="11">
        <v>19</v>
      </c>
      <c r="M12" s="11"/>
      <c r="N12" s="2"/>
      <c r="O12" s="11">
        <f t="shared" si="2"/>
        <v>19</v>
      </c>
      <c r="P12" s="12">
        <f t="shared" si="3"/>
        <v>1.2666666666666666</v>
      </c>
      <c r="Q12" s="11">
        <v>1.2</v>
      </c>
      <c r="R12" s="13">
        <f t="shared" si="4"/>
        <v>1.2</v>
      </c>
      <c r="S12" s="14">
        <f t="shared" si="5"/>
        <v>0.18</v>
      </c>
      <c r="T12" s="11">
        <v>8.9</v>
      </c>
      <c r="U12" s="11"/>
      <c r="V12" s="11"/>
      <c r="W12" s="14">
        <f t="shared" si="6"/>
        <v>1.7800000000000002</v>
      </c>
      <c r="X12" s="14"/>
    </row>
    <row r="13" spans="1:24" ht="15" customHeight="1" x14ac:dyDescent="0.35">
      <c r="A13" s="3">
        <v>327103291</v>
      </c>
      <c r="B13" s="4" t="s">
        <v>148</v>
      </c>
      <c r="C13" s="4" t="s">
        <v>169</v>
      </c>
      <c r="D13" s="8">
        <f>Tabla1[[#This Row],[Porcentaje de Asistencia]]</f>
        <v>0.8</v>
      </c>
      <c r="E13" s="9"/>
      <c r="F13" s="10">
        <f t="shared" si="1"/>
        <v>5.68</v>
      </c>
      <c r="G13" s="11">
        <v>11</v>
      </c>
      <c r="H13" s="11"/>
      <c r="I13" s="11"/>
      <c r="J13" s="11"/>
      <c r="K13" s="12">
        <f t="shared" si="0"/>
        <v>1.8333333333333333</v>
      </c>
      <c r="L13" s="11">
        <v>16</v>
      </c>
      <c r="M13" s="11"/>
      <c r="N13" s="2"/>
      <c r="O13" s="11">
        <f t="shared" si="2"/>
        <v>16</v>
      </c>
      <c r="P13" s="12">
        <f t="shared" si="3"/>
        <v>1.0666666666666667</v>
      </c>
      <c r="Q13" s="11">
        <v>7.2</v>
      </c>
      <c r="R13" s="13">
        <f t="shared" si="4"/>
        <v>7.2</v>
      </c>
      <c r="S13" s="14">
        <f t="shared" si="5"/>
        <v>1.08</v>
      </c>
      <c r="T13" s="11">
        <v>8.5</v>
      </c>
      <c r="U13" s="11"/>
      <c r="V13" s="11"/>
      <c r="W13" s="14">
        <f t="shared" si="6"/>
        <v>1.7000000000000002</v>
      </c>
      <c r="X13" s="14"/>
    </row>
    <row r="14" spans="1:24" ht="15" customHeight="1" x14ac:dyDescent="0.35">
      <c r="A14" s="3">
        <v>327348326</v>
      </c>
      <c r="B14" s="4" t="s">
        <v>149</v>
      </c>
      <c r="C14" s="4" t="s">
        <v>170</v>
      </c>
      <c r="D14" s="8">
        <f>Tabla1[[#This Row],[Porcentaje de Asistencia]]</f>
        <v>1</v>
      </c>
      <c r="E14" s="9"/>
      <c r="F14" s="10">
        <f t="shared" si="1"/>
        <v>4.7783333333333333</v>
      </c>
      <c r="G14" s="11">
        <v>5</v>
      </c>
      <c r="H14" s="11"/>
      <c r="I14" s="11"/>
      <c r="J14" s="11"/>
      <c r="K14" s="12">
        <f t="shared" si="0"/>
        <v>0.83333333333333337</v>
      </c>
      <c r="L14" s="11">
        <v>21</v>
      </c>
      <c r="M14" s="11"/>
      <c r="N14" s="2"/>
      <c r="O14" s="11">
        <f t="shared" si="2"/>
        <v>21</v>
      </c>
      <c r="P14" s="12">
        <f t="shared" si="3"/>
        <v>1.4</v>
      </c>
      <c r="Q14" s="11">
        <v>5.0999999999999996</v>
      </c>
      <c r="R14" s="13">
        <f t="shared" si="4"/>
        <v>5.0999999999999996</v>
      </c>
      <c r="S14" s="14">
        <f t="shared" si="5"/>
        <v>0.7649999999999999</v>
      </c>
      <c r="T14" s="11">
        <v>8.9</v>
      </c>
      <c r="U14" s="11"/>
      <c r="V14" s="11"/>
      <c r="W14" s="14">
        <f t="shared" si="6"/>
        <v>1.7800000000000002</v>
      </c>
      <c r="X14" s="14"/>
    </row>
    <row r="15" spans="1:24" ht="15" customHeight="1" x14ac:dyDescent="0.35">
      <c r="A15" s="3">
        <v>327235167</v>
      </c>
      <c r="B15" s="4" t="s">
        <v>150</v>
      </c>
      <c r="C15" s="4" t="s">
        <v>171</v>
      </c>
      <c r="D15" s="8">
        <f>Tabla1[[#This Row],[Porcentaje de Asistencia]]</f>
        <v>0.8</v>
      </c>
      <c r="E15" s="9"/>
      <c r="F15" s="10">
        <f t="shared" si="1"/>
        <v>0.66666666666666674</v>
      </c>
      <c r="G15" s="11">
        <v>4</v>
      </c>
      <c r="H15" s="11"/>
      <c r="I15" s="11"/>
      <c r="J15" s="11"/>
      <c r="K15" s="12">
        <f t="shared" si="0"/>
        <v>0.66666666666666674</v>
      </c>
      <c r="L15" s="11">
        <v>0</v>
      </c>
      <c r="M15" s="11"/>
      <c r="N15" s="2"/>
      <c r="O15" s="11">
        <f t="shared" si="2"/>
        <v>0</v>
      </c>
      <c r="P15" s="12">
        <f t="shared" si="3"/>
        <v>0</v>
      </c>
      <c r="Q15" s="11">
        <v>0</v>
      </c>
      <c r="R15" s="13">
        <f t="shared" si="4"/>
        <v>0</v>
      </c>
      <c r="S15" s="14">
        <f t="shared" si="5"/>
        <v>0</v>
      </c>
      <c r="T15" s="11">
        <v>0</v>
      </c>
      <c r="U15" s="11"/>
      <c r="V15" s="11"/>
      <c r="W15" s="14">
        <f t="shared" si="6"/>
        <v>0</v>
      </c>
      <c r="X15" s="14"/>
    </row>
    <row r="16" spans="1:24" ht="15" customHeight="1" x14ac:dyDescent="0.35">
      <c r="A16" s="3">
        <v>327273457</v>
      </c>
      <c r="B16" s="4" t="s">
        <v>151</v>
      </c>
      <c r="C16" s="4" t="s">
        <v>181</v>
      </c>
      <c r="D16" s="8">
        <f>Tabla1[[#This Row],[Porcentaje de Asistencia]]</f>
        <v>1</v>
      </c>
      <c r="E16" s="9"/>
      <c r="F16" s="10">
        <f t="shared" si="1"/>
        <v>3.4450000000000003</v>
      </c>
      <c r="G16" s="11">
        <v>8</v>
      </c>
      <c r="H16" s="11"/>
      <c r="I16" s="11"/>
      <c r="J16" s="11"/>
      <c r="K16" s="12">
        <f t="shared" si="0"/>
        <v>1.3333333333333335</v>
      </c>
      <c r="L16" s="11">
        <v>13</v>
      </c>
      <c r="M16" s="11"/>
      <c r="N16" s="2"/>
      <c r="O16" s="11">
        <f t="shared" si="2"/>
        <v>13</v>
      </c>
      <c r="P16" s="12">
        <f t="shared" si="3"/>
        <v>0.8666666666666667</v>
      </c>
      <c r="Q16" s="11">
        <v>3.1</v>
      </c>
      <c r="R16" s="13">
        <f t="shared" si="4"/>
        <v>3.1</v>
      </c>
      <c r="S16" s="14">
        <f t="shared" si="5"/>
        <v>0.46499999999999997</v>
      </c>
      <c r="T16" s="11">
        <v>3.9</v>
      </c>
      <c r="U16" s="11"/>
      <c r="V16" s="11"/>
      <c r="W16" s="14">
        <f t="shared" si="6"/>
        <v>0.78</v>
      </c>
      <c r="X16" s="14"/>
    </row>
    <row r="17" spans="1:24" ht="15" customHeight="1" x14ac:dyDescent="0.35">
      <c r="A17" s="3">
        <v>327058366</v>
      </c>
      <c r="B17" s="4" t="s">
        <v>152</v>
      </c>
      <c r="C17" s="4" t="s">
        <v>173</v>
      </c>
      <c r="D17" s="8">
        <f>Tabla1[[#This Row],[Porcentaje de Asistencia]]</f>
        <v>1</v>
      </c>
      <c r="E17" s="9"/>
      <c r="F17" s="10">
        <f t="shared" si="1"/>
        <v>5.8433333333333328</v>
      </c>
      <c r="G17" s="11">
        <v>9</v>
      </c>
      <c r="H17" s="11"/>
      <c r="I17" s="11"/>
      <c r="J17" s="11"/>
      <c r="K17" s="12">
        <f t="shared" si="0"/>
        <v>1.5</v>
      </c>
      <c r="L17" s="11">
        <v>20</v>
      </c>
      <c r="M17" s="11"/>
      <c r="N17" s="2"/>
      <c r="O17" s="11">
        <f t="shared" si="2"/>
        <v>20</v>
      </c>
      <c r="P17" s="12">
        <f t="shared" si="3"/>
        <v>1.3333333333333333</v>
      </c>
      <c r="Q17" s="11">
        <v>7.8</v>
      </c>
      <c r="R17" s="13">
        <f t="shared" si="4"/>
        <v>7.8</v>
      </c>
      <c r="S17" s="14">
        <f t="shared" si="5"/>
        <v>1.17</v>
      </c>
      <c r="T17" s="11">
        <v>9.1999999999999993</v>
      </c>
      <c r="U17" s="11"/>
      <c r="V17" s="11"/>
      <c r="W17" s="14">
        <f t="shared" si="6"/>
        <v>1.8399999999999999</v>
      </c>
      <c r="X17" s="14"/>
    </row>
    <row r="18" spans="1:24" ht="15" customHeight="1" x14ac:dyDescent="0.35">
      <c r="A18" s="3">
        <v>327228653</v>
      </c>
      <c r="B18" s="4" t="s">
        <v>153</v>
      </c>
      <c r="C18" s="4" t="s">
        <v>174</v>
      </c>
      <c r="D18" s="8">
        <f>Tabla1[[#This Row],[Porcentaje de Asistencia]]</f>
        <v>0.9</v>
      </c>
      <c r="E18" s="9"/>
      <c r="F18" s="10">
        <f t="shared" si="1"/>
        <v>3.6</v>
      </c>
      <c r="G18" s="11">
        <v>5</v>
      </c>
      <c r="H18" s="11"/>
      <c r="I18" s="11"/>
      <c r="J18" s="11"/>
      <c r="K18" s="12">
        <f t="shared" si="0"/>
        <v>0.83333333333333337</v>
      </c>
      <c r="L18" s="11">
        <v>16</v>
      </c>
      <c r="M18" s="11"/>
      <c r="N18" s="2"/>
      <c r="O18" s="11">
        <f t="shared" si="2"/>
        <v>16</v>
      </c>
      <c r="P18" s="12">
        <f t="shared" si="3"/>
        <v>1.0666666666666667</v>
      </c>
      <c r="Q18" s="11">
        <v>0</v>
      </c>
      <c r="R18" s="13">
        <f t="shared" si="4"/>
        <v>0</v>
      </c>
      <c r="S18" s="14">
        <f t="shared" si="5"/>
        <v>0</v>
      </c>
      <c r="T18" s="11">
        <v>8.5</v>
      </c>
      <c r="U18" s="11"/>
      <c r="V18" s="11"/>
      <c r="W18" s="14">
        <f t="shared" si="6"/>
        <v>1.7000000000000002</v>
      </c>
      <c r="X18" s="14"/>
    </row>
    <row r="19" spans="1:24" ht="15" customHeight="1" x14ac:dyDescent="0.35">
      <c r="A19" s="3">
        <v>327008969</v>
      </c>
      <c r="B19" s="4" t="s">
        <v>154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4.8833333333333329</v>
      </c>
      <c r="G19" s="11">
        <v>9</v>
      </c>
      <c r="H19" s="11"/>
      <c r="I19" s="11"/>
      <c r="J19" s="11"/>
      <c r="K19" s="12">
        <f t="shared" si="0"/>
        <v>1.5</v>
      </c>
      <c r="L19" s="11">
        <v>20</v>
      </c>
      <c r="M19" s="11"/>
      <c r="N19" s="2"/>
      <c r="O19" s="11">
        <f t="shared" si="2"/>
        <v>20</v>
      </c>
      <c r="P19" s="12">
        <f t="shared" si="3"/>
        <v>1.3333333333333333</v>
      </c>
      <c r="Q19" s="11">
        <v>1.4</v>
      </c>
      <c r="R19" s="13">
        <f t="shared" si="4"/>
        <v>1.4</v>
      </c>
      <c r="S19" s="14">
        <f t="shared" si="5"/>
        <v>0.21</v>
      </c>
      <c r="T19" s="11">
        <v>9.1999999999999993</v>
      </c>
      <c r="U19" s="11"/>
      <c r="V19" s="11"/>
      <c r="W19" s="14">
        <f t="shared" si="6"/>
        <v>1.8399999999999999</v>
      </c>
      <c r="X19" s="14"/>
    </row>
    <row r="20" spans="1:24" ht="15" customHeight="1" x14ac:dyDescent="0.35">
      <c r="A20" s="3">
        <v>327198365</v>
      </c>
      <c r="B20" s="4" t="s">
        <v>155</v>
      </c>
      <c r="C20" s="4" t="s">
        <v>172</v>
      </c>
      <c r="D20" s="8">
        <f>Tabla1[[#This Row],[Porcentaje de Asistencia]]</f>
        <v>0.8</v>
      </c>
      <c r="E20" s="9"/>
      <c r="F20" s="10">
        <f t="shared" si="1"/>
        <v>2.9550000000000001</v>
      </c>
      <c r="G20" s="11">
        <v>4</v>
      </c>
      <c r="H20" s="11"/>
      <c r="I20" s="11"/>
      <c r="J20" s="11"/>
      <c r="K20" s="12">
        <f t="shared" si="0"/>
        <v>0.66666666666666674</v>
      </c>
      <c r="L20" s="11">
        <v>14</v>
      </c>
      <c r="M20" s="11"/>
      <c r="N20" s="2"/>
      <c r="O20" s="11">
        <f t="shared" si="2"/>
        <v>14</v>
      </c>
      <c r="P20" s="12">
        <f t="shared" si="3"/>
        <v>0.93333333333333335</v>
      </c>
      <c r="Q20" s="11">
        <v>2.5</v>
      </c>
      <c r="R20" s="13">
        <f t="shared" si="4"/>
        <v>2.5</v>
      </c>
      <c r="S20" s="14">
        <f t="shared" si="5"/>
        <v>0.375</v>
      </c>
      <c r="T20" s="11">
        <v>4.9000000000000004</v>
      </c>
      <c r="U20" s="11"/>
      <c r="V20" s="11"/>
      <c r="W20" s="14">
        <f t="shared" si="6"/>
        <v>0.98000000000000009</v>
      </c>
      <c r="X20" s="14"/>
    </row>
    <row r="21" spans="1:24" ht="15" customHeight="1" x14ac:dyDescent="0.35">
      <c r="A21" s="3">
        <v>327033640</v>
      </c>
      <c r="B21" s="4" t="s">
        <v>156</v>
      </c>
      <c r="C21" s="4" t="s">
        <v>176</v>
      </c>
      <c r="D21" s="8">
        <f>Tabla1[[#This Row],[Porcentaje de Asistencia]]</f>
        <v>0.9</v>
      </c>
      <c r="E21" s="9"/>
      <c r="F21" s="10">
        <f t="shared" si="1"/>
        <v>4.2600000000000007</v>
      </c>
      <c r="G21" s="11">
        <v>8</v>
      </c>
      <c r="H21" s="11"/>
      <c r="I21" s="11"/>
      <c r="J21" s="11"/>
      <c r="K21" s="12">
        <f t="shared" si="0"/>
        <v>1.3333333333333335</v>
      </c>
      <c r="L21" s="11">
        <v>13</v>
      </c>
      <c r="M21" s="11"/>
      <c r="N21" s="2"/>
      <c r="O21" s="11">
        <f t="shared" si="2"/>
        <v>13</v>
      </c>
      <c r="P21" s="12">
        <f t="shared" si="3"/>
        <v>0.8666666666666667</v>
      </c>
      <c r="Q21" s="11">
        <v>7.2</v>
      </c>
      <c r="R21" s="13">
        <f t="shared" si="4"/>
        <v>7.2</v>
      </c>
      <c r="S21" s="14">
        <f t="shared" si="5"/>
        <v>1.08</v>
      </c>
      <c r="T21" s="11">
        <v>4.9000000000000004</v>
      </c>
      <c r="U21" s="11"/>
      <c r="V21" s="11"/>
      <c r="W21" s="14">
        <f t="shared" si="6"/>
        <v>0.98000000000000009</v>
      </c>
      <c r="X21" s="14"/>
    </row>
    <row r="22" spans="1:24" ht="15" customHeight="1" x14ac:dyDescent="0.35">
      <c r="A22" s="3">
        <v>327293312</v>
      </c>
      <c r="B22" s="4" t="s">
        <v>157</v>
      </c>
      <c r="C22" s="4" t="s">
        <v>182</v>
      </c>
      <c r="D22" s="8">
        <f>Tabla1[[#This Row],[Porcentaje de Asistencia]]</f>
        <v>0.9</v>
      </c>
      <c r="E22" s="9"/>
      <c r="F22" s="10">
        <f t="shared" si="1"/>
        <v>3.8066666666666666</v>
      </c>
      <c r="G22" s="11">
        <v>5</v>
      </c>
      <c r="H22" s="11"/>
      <c r="I22" s="11"/>
      <c r="J22" s="11"/>
      <c r="K22" s="12">
        <f t="shared" si="0"/>
        <v>0.83333333333333337</v>
      </c>
      <c r="L22" s="11">
        <v>17</v>
      </c>
      <c r="M22" s="11"/>
      <c r="N22" s="2"/>
      <c r="O22" s="11">
        <f t="shared" si="2"/>
        <v>17</v>
      </c>
      <c r="P22" s="12">
        <f t="shared" si="3"/>
        <v>1.1333333333333333</v>
      </c>
      <c r="Q22" s="11">
        <v>0</v>
      </c>
      <c r="R22" s="13">
        <f t="shared" si="4"/>
        <v>0</v>
      </c>
      <c r="S22" s="14">
        <f t="shared" si="5"/>
        <v>0</v>
      </c>
      <c r="T22" s="11">
        <v>9.1999999999999993</v>
      </c>
      <c r="U22" s="11"/>
      <c r="V22" s="11"/>
      <c r="W22" s="14">
        <f t="shared" si="6"/>
        <v>1.8399999999999999</v>
      </c>
      <c r="X22" s="14"/>
    </row>
    <row r="23" spans="1:24" ht="15" customHeight="1" x14ac:dyDescent="0.35">
      <c r="A23" s="3">
        <v>327156125</v>
      </c>
      <c r="B23" s="4" t="s">
        <v>158</v>
      </c>
      <c r="C23" s="4" t="s">
        <v>183</v>
      </c>
      <c r="D23" s="8">
        <f>Tabla1[[#This Row],[Porcentaje de Asistencia]]</f>
        <v>1</v>
      </c>
      <c r="E23" s="9"/>
      <c r="F23" s="10">
        <f t="shared" si="1"/>
        <v>2.5333333333333332</v>
      </c>
      <c r="G23" s="11">
        <v>10</v>
      </c>
      <c r="H23" s="11"/>
      <c r="I23" s="11"/>
      <c r="J23" s="11"/>
      <c r="K23" s="12">
        <f t="shared" si="0"/>
        <v>1.6666666666666667</v>
      </c>
      <c r="L23" s="11">
        <v>13</v>
      </c>
      <c r="M23" s="11"/>
      <c r="N23" s="2"/>
      <c r="O23" s="11">
        <f t="shared" si="2"/>
        <v>13</v>
      </c>
      <c r="P23" s="12">
        <f t="shared" si="3"/>
        <v>0.8666666666666667</v>
      </c>
      <c r="Q23" s="11">
        <v>0</v>
      </c>
      <c r="R23" s="13">
        <f t="shared" si="4"/>
        <v>0</v>
      </c>
      <c r="S23" s="14">
        <f t="shared" si="5"/>
        <v>0</v>
      </c>
      <c r="T23" s="11">
        <v>0</v>
      </c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327167596</v>
      </c>
      <c r="B24" s="4" t="s">
        <v>159</v>
      </c>
      <c r="C24" s="4" t="s">
        <v>184</v>
      </c>
      <c r="D24" s="8">
        <f>Tabla1[[#This Row],[Porcentaje de Asistencia]]</f>
        <v>0.1</v>
      </c>
      <c r="E24" s="9"/>
      <c r="F24" s="10" t="str">
        <f t="shared" si="1"/>
        <v>NP</v>
      </c>
      <c r="G24" s="11" t="s">
        <v>194</v>
      </c>
      <c r="H24" s="11"/>
      <c r="I24" s="11"/>
      <c r="J24" s="11"/>
      <c r="K24" s="12" t="str">
        <f t="shared" si="0"/>
        <v>NP</v>
      </c>
      <c r="L24" s="11">
        <v>0</v>
      </c>
      <c r="M24" s="11"/>
      <c r="N24" s="2" t="str">
        <f>+G24</f>
        <v>NP</v>
      </c>
      <c r="O24" s="11">
        <f t="shared" si="2"/>
        <v>0</v>
      </c>
      <c r="P24" s="12">
        <f t="shared" si="3"/>
        <v>0</v>
      </c>
      <c r="Q24" s="11">
        <v>0</v>
      </c>
      <c r="R24" s="13">
        <f t="shared" si="4"/>
        <v>0</v>
      </c>
      <c r="S24" s="14">
        <f t="shared" si="5"/>
        <v>0</v>
      </c>
      <c r="T24" s="11">
        <v>0</v>
      </c>
      <c r="U24" s="11"/>
      <c r="V24" s="11"/>
      <c r="W24" s="14">
        <f t="shared" si="6"/>
        <v>0</v>
      </c>
      <c r="X24" s="14"/>
    </row>
    <row r="25" spans="1:24" ht="15" customHeight="1" x14ac:dyDescent="0.35">
      <c r="A25" s="3">
        <v>327291167</v>
      </c>
      <c r="B25" s="4" t="s">
        <v>160</v>
      </c>
      <c r="C25" s="4" t="s">
        <v>177</v>
      </c>
      <c r="D25" s="8">
        <f>Tabla1[[#This Row],[Porcentaje de Asistencia]]</f>
        <v>0.9</v>
      </c>
      <c r="E25" s="9"/>
      <c r="F25" s="10">
        <f t="shared" si="1"/>
        <v>2.93</v>
      </c>
      <c r="G25" s="11">
        <v>5</v>
      </c>
      <c r="H25" s="11"/>
      <c r="I25" s="11"/>
      <c r="J25" s="11"/>
      <c r="K25" s="12">
        <f t="shared" si="0"/>
        <v>0.83333333333333337</v>
      </c>
      <c r="L25" s="11">
        <v>10</v>
      </c>
      <c r="M25" s="11"/>
      <c r="N25" s="2"/>
      <c r="O25" s="11">
        <f t="shared" si="2"/>
        <v>10</v>
      </c>
      <c r="P25" s="12">
        <f t="shared" si="3"/>
        <v>0.66666666666666663</v>
      </c>
      <c r="Q25" s="11">
        <v>3</v>
      </c>
      <c r="R25" s="13">
        <f t="shared" si="4"/>
        <v>3</v>
      </c>
      <c r="S25" s="14">
        <f t="shared" si="5"/>
        <v>0.44999999999999996</v>
      </c>
      <c r="T25" s="11">
        <v>4.9000000000000004</v>
      </c>
      <c r="U25" s="11"/>
      <c r="V25" s="11"/>
      <c r="W25" s="14">
        <f t="shared" si="6"/>
        <v>0.98000000000000009</v>
      </c>
      <c r="X25" s="14"/>
    </row>
    <row r="26" spans="1:24" ht="15" customHeight="1" x14ac:dyDescent="0.35">
      <c r="A26" s="3">
        <v>327230193</v>
      </c>
      <c r="B26" s="4" t="s">
        <v>161</v>
      </c>
      <c r="C26" s="4" t="s">
        <v>178</v>
      </c>
      <c r="D26" s="8">
        <f>Tabla1[[#This Row],[Porcentaje de Asistencia]]</f>
        <v>0.7</v>
      </c>
      <c r="E26" s="9"/>
      <c r="F26" s="10">
        <f t="shared" si="1"/>
        <v>2.13</v>
      </c>
      <c r="G26" s="11">
        <v>0.5</v>
      </c>
      <c r="H26" s="11"/>
      <c r="I26" s="11"/>
      <c r="J26" s="11"/>
      <c r="K26" s="12">
        <f t="shared" si="0"/>
        <v>8.3333333333333343E-2</v>
      </c>
      <c r="L26" s="11">
        <v>7</v>
      </c>
      <c r="M26" s="11"/>
      <c r="N26" s="2"/>
      <c r="O26" s="11">
        <f t="shared" si="2"/>
        <v>7</v>
      </c>
      <c r="P26" s="12">
        <f t="shared" si="3"/>
        <v>0.46666666666666667</v>
      </c>
      <c r="Q26" s="11">
        <v>4</v>
      </c>
      <c r="R26" s="13">
        <f t="shared" si="4"/>
        <v>4</v>
      </c>
      <c r="S26" s="14">
        <f t="shared" si="5"/>
        <v>0.6</v>
      </c>
      <c r="T26" s="11">
        <v>4.9000000000000004</v>
      </c>
      <c r="U26" s="11"/>
      <c r="V26" s="11"/>
      <c r="W26" s="14">
        <f t="shared" si="6"/>
        <v>0.98000000000000009</v>
      </c>
      <c r="X26" s="14"/>
    </row>
    <row r="27" spans="1:24" x14ac:dyDescent="0.35"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  <c r="J30" t="s">
        <v>16</v>
      </c>
    </row>
    <row r="31" spans="1:24" x14ac:dyDescent="0.35">
      <c r="B31" s="19" t="s">
        <v>30</v>
      </c>
      <c r="C31" s="19"/>
      <c r="D31" s="20"/>
      <c r="E31" s="20">
        <v>5</v>
      </c>
      <c r="F31" s="18"/>
    </row>
    <row r="32" spans="1:24" x14ac:dyDescent="0.35">
      <c r="B32" s="19" t="s">
        <v>17</v>
      </c>
      <c r="C32" s="19"/>
      <c r="D32" s="20"/>
      <c r="E32" s="20">
        <v>3</v>
      </c>
      <c r="F32" s="18"/>
    </row>
    <row r="33" spans="2:23" x14ac:dyDescent="0.35">
      <c r="B33" s="4" t="s">
        <v>18</v>
      </c>
      <c r="C33" s="4"/>
      <c r="D33" s="3"/>
      <c r="E33" s="3">
        <f>SUM(E34:E36)</f>
        <v>0</v>
      </c>
      <c r="F33" s="3">
        <f>SUM(F34:F36)</f>
        <v>24</v>
      </c>
      <c r="G33" s="3"/>
    </row>
    <row r="34" spans="2:23" x14ac:dyDescent="0.35">
      <c r="B34" s="4" t="s">
        <v>19</v>
      </c>
      <c r="C34" s="4"/>
      <c r="D34" s="3"/>
      <c r="E34" s="3">
        <f>COUNTIF(E2:E25,"&gt;=6")</f>
        <v>0</v>
      </c>
      <c r="F34" s="3">
        <f>COUNTIF(F2:F25,"&gt;=6")</f>
        <v>0</v>
      </c>
      <c r="G34" s="3"/>
    </row>
    <row r="35" spans="2:23" x14ac:dyDescent="0.35">
      <c r="B35" s="4" t="s">
        <v>20</v>
      </c>
      <c r="C35" s="4"/>
      <c r="D35" s="3"/>
      <c r="E35" s="11">
        <f>COUNTIF(E2:E25,"&lt;=5.9")</f>
        <v>0</v>
      </c>
      <c r="F35" s="11">
        <f>COUNTIF(F2:F25,"&lt;6")</f>
        <v>23</v>
      </c>
      <c r="G35" s="11"/>
    </row>
    <row r="36" spans="2:23" x14ac:dyDescent="0.35">
      <c r="B36" s="4" t="s">
        <v>21</v>
      </c>
      <c r="C36" s="4"/>
      <c r="D36" s="3"/>
      <c r="E36" s="11">
        <f>COUNTIF(E2:E25, "NP")</f>
        <v>0</v>
      </c>
      <c r="F36" s="11">
        <f>COUNTIF(F2:F25, "NP")</f>
        <v>1</v>
      </c>
      <c r="G36" s="11"/>
      <c r="H36" s="1"/>
    </row>
    <row r="37" spans="2:23" x14ac:dyDescent="0.35">
      <c r="B37" s="4" t="s">
        <v>22</v>
      </c>
      <c r="C37" s="4"/>
      <c r="D37" s="3"/>
      <c r="E37" s="17" t="e">
        <f>AVERAGE(E2:E25)</f>
        <v>#DIV/0!</v>
      </c>
      <c r="F37" s="17">
        <f>AVERAGE(F2:F25)</f>
        <v>4.1630434782608692</v>
      </c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23</v>
      </c>
      <c r="C38" s="4"/>
      <c r="D38" s="3"/>
      <c r="E38" s="3">
        <f>COUNTIF(E$2:E$25,10)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24</v>
      </c>
      <c r="C39" s="4"/>
      <c r="D39" s="3"/>
      <c r="E39" s="3">
        <f>COUNTIF(E$2:E$25,9)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25</v>
      </c>
      <c r="C40" s="4"/>
      <c r="D40" s="3"/>
      <c r="E40" s="3">
        <f>COUNTIF(E$2:E$25,8)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26</v>
      </c>
      <c r="C41" s="4"/>
      <c r="D41" s="3"/>
      <c r="E41" s="3">
        <f>COUNTIF(E$2:E$25,7)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27</v>
      </c>
      <c r="C42" s="4"/>
      <c r="D42" s="3"/>
      <c r="E42" s="3">
        <f>COUNTIF(E$2:E$25,6)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28</v>
      </c>
      <c r="C43" s="4"/>
      <c r="D43" s="3"/>
      <c r="E43" s="3">
        <f>COUNTIF(E$2:E$25,5)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29</v>
      </c>
      <c r="C44" s="4"/>
      <c r="D44" s="3"/>
      <c r="E44" s="3">
        <f>COUNTIF(E$2:E$25,"NP")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topLeftCell="A9" zoomScale="145" zoomScaleNormal="145" workbookViewId="0">
      <selection activeCell="A26" sqref="A26"/>
    </sheetView>
  </sheetViews>
  <sheetFormatPr baseColWidth="10" defaultColWidth="10.7265625" defaultRowHeight="14.5" x14ac:dyDescent="0.35"/>
  <cols>
    <col min="1" max="1" width="5.81640625" customWidth="1"/>
    <col min="2" max="2" width="38.453125" customWidth="1"/>
    <col min="3" max="3" width="10.7265625" customWidth="1"/>
    <col min="4" max="4" width="13.7265625" style="26" customWidth="1"/>
    <col min="5" max="12" width="10.7265625" customWidth="1"/>
    <col min="107" max="108" width="11.54296875" customWidth="1"/>
    <col min="109" max="109" width="17.453125" customWidth="1"/>
  </cols>
  <sheetData>
    <row r="1" spans="1:127" ht="22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185</v>
      </c>
      <c r="F1" s="23" t="s">
        <v>186</v>
      </c>
      <c r="G1" s="23" t="s">
        <v>187</v>
      </c>
      <c r="H1" s="23" t="s">
        <v>188</v>
      </c>
      <c r="I1" s="23" t="s">
        <v>189</v>
      </c>
      <c r="J1" s="23" t="s">
        <v>190</v>
      </c>
      <c r="K1" s="23" t="s">
        <v>191</v>
      </c>
      <c r="L1" s="23" t="s">
        <v>192</v>
      </c>
      <c r="M1" s="23" t="s">
        <v>193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4" t="s">
        <v>137</v>
      </c>
      <c r="C2" s="24">
        <f>SUMIF(Tabla1[[#This Row],[Khan Academy]:[Columna11]], 1,Tabla1[[#This Row],[Khan Academy]:[Columna11]])/COUNTA(Tabla1[[#This Row],[Khan Academy]:[Columna11]])</f>
        <v>1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1</v>
      </c>
      <c r="K2" s="25">
        <v>1</v>
      </c>
      <c r="L2" s="25">
        <v>1</v>
      </c>
      <c r="M2" s="25">
        <v>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10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4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4" t="s">
        <v>139</v>
      </c>
      <c r="C4" s="24">
        <f>SUMIF(Tabla1[[#This Row],[Khan Academy]:[Columna11]], 1,Tabla1[[#This Row],[Khan Academy]:[Columna11]])/COUNTA(Tabla1[[#This Row],[Khan Academy]:[Columna11]])</f>
        <v>1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1</v>
      </c>
      <c r="K4" s="25">
        <v>1</v>
      </c>
      <c r="L4" s="25">
        <v>1</v>
      </c>
      <c r="M4" s="25">
        <v>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10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4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4" t="s">
        <v>141</v>
      </c>
      <c r="C6" s="24">
        <f>SUMIF(Tabla1[[#This Row],[Khan Academy]:[Columna11]], 1,Tabla1[[#This Row],[Khan Academy]:[Columna11]])/COUNTA(Tabla1[[#This Row],[Khan Academy]:[Columna11]])</f>
        <v>0.5</v>
      </c>
      <c r="D6" s="25">
        <v>2</v>
      </c>
      <c r="E6" s="25">
        <v>1</v>
      </c>
      <c r="F6" s="25">
        <v>2</v>
      </c>
      <c r="G6" s="25">
        <v>2</v>
      </c>
      <c r="H6" s="25">
        <v>2</v>
      </c>
      <c r="I6" s="25">
        <v>2</v>
      </c>
      <c r="J6" s="25">
        <v>1</v>
      </c>
      <c r="K6" s="25">
        <v>1</v>
      </c>
      <c r="L6" s="25">
        <v>1</v>
      </c>
      <c r="M6" s="25">
        <v>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4" t="s">
        <v>142</v>
      </c>
      <c r="C7" s="24">
        <f>SUMIF(Tabla1[[#This Row],[Khan Academy]:[Columna11]], 1,Tabla1[[#This Row],[Khan Academy]:[Columna11]])/COUNTA(Tabla1[[#This Row],[Khan Academy]:[Columna11]])</f>
        <v>0.9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2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4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4" t="s">
        <v>144</v>
      </c>
      <c r="C9" s="24">
        <f>SUMIF(Tabla1[[#This Row],[Khan Academy]:[Columna11]], 1,Tabla1[[#This Row],[Khan Academy]:[Columna11]])/COUNTA(Tabla1[[#This Row],[Khan Academy]:[Columna11]])</f>
        <v>1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1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10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4" t="s">
        <v>145</v>
      </c>
      <c r="C10" s="24">
        <f>SUMIF(Tabla1[[#This Row],[Khan Academy]:[Columna11]], 1,Tabla1[[#This Row],[Khan Academy]:[Columna11]])/COUNTA(Tabla1[[#This Row],[Khan Academy]:[Columna11]])</f>
        <v>0.8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2</v>
      </c>
      <c r="J10" s="25">
        <v>1</v>
      </c>
      <c r="K10" s="25">
        <v>1</v>
      </c>
      <c r="L10" s="25">
        <v>1</v>
      </c>
      <c r="M10" s="25">
        <v>2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8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4" t="s">
        <v>146</v>
      </c>
      <c r="C11" s="24">
        <f>SUMIF(Tabla1[[#This Row],[Khan Academy]:[Columna11]], 1,Tabla1[[#This Row],[Khan Academy]:[Columna11]])/COUNTA(Tabla1[[#This Row],[Khan Academy]:[Columna11]])</f>
        <v>0.9</v>
      </c>
      <c r="D11" s="25">
        <v>2</v>
      </c>
      <c r="E11" s="25">
        <v>1</v>
      </c>
      <c r="F11" s="25">
        <v>1</v>
      </c>
      <c r="G11" s="25">
        <v>1</v>
      </c>
      <c r="H11" s="25">
        <v>1</v>
      </c>
      <c r="I11" s="25">
        <v>1</v>
      </c>
      <c r="J11" s="25">
        <v>1</v>
      </c>
      <c r="K11" s="25">
        <v>1</v>
      </c>
      <c r="L11" s="25">
        <v>1</v>
      </c>
      <c r="M11" s="25">
        <v>1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4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4" t="s">
        <v>148</v>
      </c>
      <c r="C13" s="24">
        <f>SUMIF(Tabla1[[#This Row],[Khan Academy]:[Columna11]], 1,Tabla1[[#This Row],[Khan Academy]:[Columna11]])/COUNTA(Tabla1[[#This Row],[Khan Academy]:[Columna11]])</f>
        <v>0.8</v>
      </c>
      <c r="D13" s="25">
        <v>1</v>
      </c>
      <c r="E13" s="25">
        <v>1</v>
      </c>
      <c r="F13" s="25">
        <v>1</v>
      </c>
      <c r="G13" s="25">
        <v>1</v>
      </c>
      <c r="H13" s="25">
        <v>1</v>
      </c>
      <c r="I13" s="25">
        <v>2</v>
      </c>
      <c r="J13" s="25">
        <v>1</v>
      </c>
      <c r="K13" s="25">
        <v>1</v>
      </c>
      <c r="L13" s="25">
        <v>1</v>
      </c>
      <c r="M13" s="25">
        <v>2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8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4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4" t="s">
        <v>150</v>
      </c>
      <c r="C15" s="24">
        <f>SUMIF(Tabla1[[#This Row],[Khan Academy]:[Columna11]], 1,Tabla1[[#This Row],[Khan Academy]:[Columna11]])/COUNTA(Tabla1[[#This Row],[Khan Academy]:[Columna11]])</f>
        <v>0.8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2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8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4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4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4" t="s">
        <v>153</v>
      </c>
      <c r="C18" s="24">
        <f>SUMIF(Tabla1[[#This Row],[Khan Academy]:[Columna11]], 1,Tabla1[[#This Row],[Khan Academy]:[Columna11]])/COUNTA(Tabla1[[#This Row],[Khan Academy]:[Columna11]])</f>
        <v>0.9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2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4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4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2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1</v>
      </c>
      <c r="K20" s="25">
        <v>2</v>
      </c>
      <c r="L20" s="25">
        <v>1</v>
      </c>
      <c r="M20" s="25">
        <v>1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4" t="s">
        <v>156</v>
      </c>
      <c r="C21" s="24">
        <f>SUMIF(Tabla1[[#This Row],[Khan Academy]:[Columna11]], 1,Tabla1[[#This Row],[Khan Academy]:[Columna11]])/COUNTA(Tabla1[[#This Row],[Khan Academy]:[Columna11]])</f>
        <v>0.9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2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9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4" t="s">
        <v>157</v>
      </c>
      <c r="C22" s="24">
        <f>SUMIF(Tabla1[[#This Row],[Khan Academy]:[Columna11]], 1,Tabla1[[#This Row],[Khan Academy]:[Columna11]])/COUNTA(Tabla1[[#This Row],[Khan Academy]:[Columna11]])</f>
        <v>0.9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1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4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4" t="s">
        <v>159</v>
      </c>
      <c r="C24" s="24">
        <f>SUMIF(Tabla1[[#This Row],[Khan Academy]:[Columna11]], 1,Tabla1[[#This Row],[Khan Academy]:[Columna11]])/COUNTA(Tabla1[[#This Row],[Khan Academy]:[Columna11]])</f>
        <v>0.1</v>
      </c>
      <c r="D24" s="25">
        <v>2</v>
      </c>
      <c r="E24" s="25">
        <v>2</v>
      </c>
      <c r="F24" s="25">
        <v>2</v>
      </c>
      <c r="G24" s="25">
        <v>2</v>
      </c>
      <c r="H24" s="25">
        <v>1</v>
      </c>
      <c r="I24" s="25">
        <v>2</v>
      </c>
      <c r="J24" s="25">
        <v>2</v>
      </c>
      <c r="K24" s="25">
        <v>2</v>
      </c>
      <c r="L24" s="25">
        <v>2</v>
      </c>
      <c r="M24" s="25">
        <v>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1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4" t="s">
        <v>160</v>
      </c>
      <c r="C25" s="24">
        <f>SUMIF(Tabla1[[#This Row],[Khan Academy]:[Columna11]], 1,Tabla1[[#This Row],[Khan Academy]:[Columna11]])/COUNTA(Tabla1[[#This Row],[Khan Academy]:[Columna11]])</f>
        <v>0.9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1</v>
      </c>
      <c r="J25" s="25">
        <v>1</v>
      </c>
      <c r="K25" s="25">
        <v>2</v>
      </c>
      <c r="L25" s="25">
        <v>1</v>
      </c>
      <c r="M25" s="25"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9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4" t="s">
        <v>161</v>
      </c>
      <c r="C26" s="24">
        <f>SUMIF(Tabla1[[#This Row],[Khan Academy]:[Columna11]], 1,Tabla1[[#This Row],[Khan Academy]:[Columna11]])/COUNTA(Tabla1[[#This Row],[Khan Academy]:[Columna11]])</f>
        <v>0.7</v>
      </c>
      <c r="D26" s="25">
        <v>1</v>
      </c>
      <c r="E26" s="25">
        <v>1</v>
      </c>
      <c r="F26" s="25">
        <v>1</v>
      </c>
      <c r="G26" s="25">
        <v>1</v>
      </c>
      <c r="H26" s="25">
        <v>1</v>
      </c>
      <c r="I26" s="25">
        <v>2</v>
      </c>
      <c r="J26" s="25">
        <v>1</v>
      </c>
      <c r="K26" s="25">
        <v>2</v>
      </c>
      <c r="L26" s="25">
        <v>1</v>
      </c>
      <c r="M26" s="25">
        <v>2</v>
      </c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">
        <f>SUMIF(Tabla1[[#This Row],[Khan Academy]:[Columna11]], 1,Tabla1[[#This Row],[Khan Academy]:[Columna11]])</f>
        <v>7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2026-10-16T23:32:01Z</dcterms:modified>
</cp:coreProperties>
</file>