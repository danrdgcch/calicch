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48567a393db7db/Escritorio/CCH-VALLEJO/Ciclos escolares/2027-1/"/>
    </mc:Choice>
  </mc:AlternateContent>
  <xr:revisionPtr revIDLastSave="455" documentId="8_{180ABF20-E2EC-4F08-8077-01D2A59245E8}" xr6:coauthVersionLast="47" xr6:coauthVersionMax="47" xr10:uidLastSave="{233398D8-8E18-40A6-9748-8D5731C2C150}"/>
  <bookViews>
    <workbookView xWindow="12710" yWindow="0" windowWidth="12980" windowHeight="15370" xr2:uid="{A5C01852-C15E-47C4-B915-FB1981CD68D0}"/>
  </bookViews>
  <sheets>
    <sheet name="Calificaciones" sheetId="2" r:id="rId1"/>
    <sheet name="Asistencia" sheetId="4" r:id="rId2"/>
    <sheet name="Ruleta" sheetId="5" r:id="rId3"/>
  </sheets>
  <definedNames>
    <definedName name="_xlnm._FilterDatabase" localSheetId="0" hidden="1">Calificaciones!$A$1:$X$26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O3" i="2"/>
  <c r="R3" i="2"/>
  <c r="S3" i="2" s="1"/>
  <c r="W3" i="2"/>
  <c r="K4" i="2"/>
  <c r="O4" i="2"/>
  <c r="R4" i="2"/>
  <c r="S4" i="2" s="1"/>
  <c r="W4" i="2"/>
  <c r="K5" i="2"/>
  <c r="O5" i="2"/>
  <c r="R5" i="2"/>
  <c r="S5" i="2" s="1"/>
  <c r="W5" i="2"/>
  <c r="K6" i="2"/>
  <c r="O6" i="2"/>
  <c r="R6" i="2"/>
  <c r="S6" i="2" s="1"/>
  <c r="W6" i="2"/>
  <c r="K7" i="2"/>
  <c r="O7" i="2"/>
  <c r="R7" i="2"/>
  <c r="S7" i="2" s="1"/>
  <c r="W7" i="2"/>
  <c r="K8" i="2"/>
  <c r="O8" i="2"/>
  <c r="R8" i="2"/>
  <c r="S8" i="2" s="1"/>
  <c r="W8" i="2"/>
  <c r="K9" i="2"/>
  <c r="O9" i="2"/>
  <c r="R9" i="2"/>
  <c r="S9" i="2"/>
  <c r="W9" i="2"/>
  <c r="K10" i="2"/>
  <c r="O10" i="2"/>
  <c r="R10" i="2"/>
  <c r="S10" i="2" s="1"/>
  <c r="W10" i="2"/>
  <c r="K11" i="2"/>
  <c r="O11" i="2"/>
  <c r="R11" i="2"/>
  <c r="S11" i="2" s="1"/>
  <c r="W11" i="2"/>
  <c r="K12" i="2"/>
  <c r="O12" i="2"/>
  <c r="R12" i="2"/>
  <c r="S12" i="2" s="1"/>
  <c r="W12" i="2"/>
  <c r="K13" i="2"/>
  <c r="O13" i="2"/>
  <c r="R13" i="2"/>
  <c r="S13" i="2" s="1"/>
  <c r="W13" i="2"/>
  <c r="K14" i="2"/>
  <c r="O14" i="2"/>
  <c r="R14" i="2"/>
  <c r="S14" i="2" s="1"/>
  <c r="W14" i="2"/>
  <c r="K15" i="2"/>
  <c r="O15" i="2"/>
  <c r="R15" i="2"/>
  <c r="S15" i="2" s="1"/>
  <c r="W15" i="2"/>
  <c r="K16" i="2"/>
  <c r="R16" i="2"/>
  <c r="S16" i="2" s="1"/>
  <c r="O16" i="2"/>
  <c r="W16" i="2"/>
  <c r="K17" i="2"/>
  <c r="O17" i="2"/>
  <c r="R17" i="2"/>
  <c r="S17" i="2" s="1"/>
  <c r="W17" i="2"/>
  <c r="K18" i="2"/>
  <c r="O18" i="2"/>
  <c r="R18" i="2"/>
  <c r="S18" i="2" s="1"/>
  <c r="W18" i="2"/>
  <c r="K19" i="2"/>
  <c r="O19" i="2"/>
  <c r="R19" i="2"/>
  <c r="S19" i="2" s="1"/>
  <c r="W19" i="2"/>
  <c r="K20" i="2"/>
  <c r="O20" i="2"/>
  <c r="R20" i="2"/>
  <c r="S20" i="2" s="1"/>
  <c r="W20" i="2"/>
  <c r="K21" i="2"/>
  <c r="O21" i="2"/>
  <c r="R21" i="2"/>
  <c r="S21" i="2" s="1"/>
  <c r="W21" i="2"/>
  <c r="K22" i="2"/>
  <c r="O22" i="2"/>
  <c r="R22" i="2"/>
  <c r="S22" i="2" s="1"/>
  <c r="W22" i="2"/>
  <c r="K23" i="2"/>
  <c r="O23" i="2"/>
  <c r="R23" i="2"/>
  <c r="S23" i="2" s="1"/>
  <c r="W23" i="2"/>
  <c r="K24" i="2"/>
  <c r="O24" i="2"/>
  <c r="R24" i="2"/>
  <c r="S24" i="2" s="1"/>
  <c r="W24" i="2"/>
  <c r="K25" i="2"/>
  <c r="O25" i="2"/>
  <c r="R25" i="2"/>
  <c r="S25" i="2" s="1"/>
  <c r="W25" i="2"/>
  <c r="K26" i="2"/>
  <c r="O26" i="2"/>
  <c r="R26" i="2"/>
  <c r="S26" i="2" s="1"/>
  <c r="W26" i="2"/>
  <c r="W2" i="2"/>
  <c r="R2" i="2"/>
  <c r="S2" i="2" s="1"/>
  <c r="O2" i="2"/>
  <c r="DE26" i="4"/>
  <c r="C26" i="4"/>
  <c r="D26" i="2" s="1"/>
  <c r="DE25" i="4"/>
  <c r="C25" i="4"/>
  <c r="D25" i="2" s="1"/>
  <c r="DE24" i="4"/>
  <c r="C24" i="4"/>
  <c r="D24" i="2" s="1"/>
  <c r="DE23" i="4"/>
  <c r="C23" i="4"/>
  <c r="D23" i="2" s="1"/>
  <c r="DE22" i="4"/>
  <c r="C22" i="4"/>
  <c r="D22" i="2" s="1"/>
  <c r="DE21" i="4"/>
  <c r="C21" i="4"/>
  <c r="D21" i="2" s="1"/>
  <c r="DE20" i="4"/>
  <c r="C20" i="4"/>
  <c r="D20" i="2" s="1"/>
  <c r="DE19" i="4"/>
  <c r="C19" i="4"/>
  <c r="D19" i="2" s="1"/>
  <c r="DE18" i="4"/>
  <c r="C18" i="4"/>
  <c r="D18" i="2" s="1"/>
  <c r="DE17" i="4"/>
  <c r="C17" i="4"/>
  <c r="D17" i="2" s="1"/>
  <c r="DE16" i="4"/>
  <c r="C16" i="4"/>
  <c r="D16" i="2" s="1"/>
  <c r="DE15" i="4"/>
  <c r="C15" i="4"/>
  <c r="D15" i="2" s="1"/>
  <c r="DE14" i="4"/>
  <c r="C14" i="4"/>
  <c r="D14" i="2" s="1"/>
  <c r="DE13" i="4"/>
  <c r="C13" i="4"/>
  <c r="D13" i="2" s="1"/>
  <c r="DE12" i="4"/>
  <c r="C12" i="4"/>
  <c r="D12" i="2" s="1"/>
  <c r="DE11" i="4"/>
  <c r="C11" i="4"/>
  <c r="D11" i="2" s="1"/>
  <c r="DE10" i="4"/>
  <c r="C10" i="4"/>
  <c r="D10" i="2" s="1"/>
  <c r="DE9" i="4"/>
  <c r="C9" i="4"/>
  <c r="D9" i="2" s="1"/>
  <c r="DE8" i="4"/>
  <c r="C8" i="4"/>
  <c r="D8" i="2" s="1"/>
  <c r="DE7" i="4"/>
  <c r="C7" i="4"/>
  <c r="D7" i="2" s="1"/>
  <c r="DE6" i="4"/>
  <c r="C6" i="4"/>
  <c r="D6" i="2" s="1"/>
  <c r="DE5" i="4"/>
  <c r="C5" i="4"/>
  <c r="D5" i="2" s="1"/>
  <c r="DE4" i="4"/>
  <c r="C4" i="4"/>
  <c r="D4" i="2" s="1"/>
  <c r="DE3" i="4"/>
  <c r="C3" i="4"/>
  <c r="D3" i="2" s="1"/>
  <c r="DE2" i="4"/>
  <c r="C2" i="4"/>
  <c r="D2" i="2" s="1"/>
  <c r="K2" i="2"/>
  <c r="E38" i="2"/>
  <c r="E45" i="2"/>
  <c r="E44" i="2"/>
  <c r="E43" i="2"/>
  <c r="E42" i="2"/>
  <c r="E41" i="2"/>
  <c r="E40" i="2"/>
  <c r="E39" i="2"/>
  <c r="E37" i="2"/>
  <c r="E36" i="2"/>
  <c r="E35" i="2"/>
  <c r="P13" i="2" l="1"/>
  <c r="F13" i="2" s="1"/>
  <c r="P6" i="2"/>
  <c r="F6" i="2" s="1"/>
  <c r="P3" i="2"/>
  <c r="F3" i="2" s="1"/>
  <c r="P23" i="2"/>
  <c r="F23" i="2" s="1"/>
  <c r="P26" i="2"/>
  <c r="F26" i="2" s="1"/>
  <c r="P17" i="2"/>
  <c r="F17" i="2" s="1"/>
  <c r="P20" i="2"/>
  <c r="F20" i="2" s="1"/>
  <c r="P2" i="2"/>
  <c r="F2" i="2" s="1"/>
  <c r="E34" i="2"/>
  <c r="P15" i="2"/>
  <c r="F15" i="2" s="1"/>
  <c r="P10" i="2"/>
  <c r="F10" i="2" s="1"/>
  <c r="P21" i="2"/>
  <c r="F21" i="2" s="1"/>
  <c r="P24" i="2"/>
  <c r="F24" i="2" s="1"/>
  <c r="P4" i="2"/>
  <c r="F4" i="2" s="1"/>
  <c r="P16" i="2"/>
  <c r="F16" i="2" s="1"/>
  <c r="P5" i="2"/>
  <c r="F5" i="2" s="1"/>
  <c r="P18" i="2"/>
  <c r="F18" i="2" s="1"/>
  <c r="P19" i="2"/>
  <c r="F19" i="2" s="1"/>
  <c r="P7" i="2"/>
  <c r="F7" i="2" s="1"/>
  <c r="P22" i="2"/>
  <c r="F22" i="2" s="1"/>
  <c r="P8" i="2"/>
  <c r="F8" i="2" s="1"/>
  <c r="P9" i="2"/>
  <c r="F9" i="2" s="1"/>
  <c r="P25" i="2"/>
  <c r="F25" i="2" s="1"/>
  <c r="P11" i="2"/>
  <c r="F11" i="2" s="1"/>
  <c r="P12" i="2"/>
  <c r="F12" i="2" s="1"/>
  <c r="P14" i="2"/>
  <c r="F14" i="2" s="1"/>
  <c r="F38" i="2" l="1"/>
  <c r="F36" i="2"/>
  <c r="F37" i="2"/>
  <c r="F35" i="2"/>
  <c r="F34" i="2" l="1"/>
</calcChain>
</file>

<file path=xl/sharedStrings.xml><?xml version="1.0" encoding="utf-8"?>
<sst xmlns="http://schemas.openxmlformats.org/spreadsheetml/2006/main" count="233" uniqueCount="197">
  <si>
    <t>NOMBRE</t>
  </si>
  <si>
    <t>Asistencia</t>
  </si>
  <si>
    <t>Examen U1</t>
  </si>
  <si>
    <t>Examen U2</t>
  </si>
  <si>
    <t>Examen U3</t>
  </si>
  <si>
    <t>Examen U4</t>
  </si>
  <si>
    <t>Porcentaje 50%</t>
  </si>
  <si>
    <t>Firmas U1</t>
  </si>
  <si>
    <t>Firmas U2</t>
  </si>
  <si>
    <t>Firmas U3</t>
  </si>
  <si>
    <t>Total de firmas</t>
  </si>
  <si>
    <t>Porcentaje firmas 20%</t>
  </si>
  <si>
    <t>Promedio tareas</t>
  </si>
  <si>
    <t>Porcentaje Tareas 15%</t>
  </si>
  <si>
    <t>Porcentaje Proyectos
20%</t>
  </si>
  <si>
    <t>Extra</t>
  </si>
  <si>
    <t xml:space="preserve">  </t>
  </si>
  <si>
    <t>No. De examenes</t>
  </si>
  <si>
    <t>Total</t>
  </si>
  <si>
    <t>Aprobados</t>
  </si>
  <si>
    <t>Reprobados</t>
  </si>
  <si>
    <t>No presento</t>
  </si>
  <si>
    <t>Promedio</t>
  </si>
  <si>
    <t>Cantidad de 10</t>
  </si>
  <si>
    <t>Cantidad de 9</t>
  </si>
  <si>
    <t>Cantidad de 8</t>
  </si>
  <si>
    <t>Cantidad de 7</t>
  </si>
  <si>
    <t>Cantidad de 6</t>
  </si>
  <si>
    <t>Cantidad de 5</t>
  </si>
  <si>
    <t>Cantidad de NP</t>
  </si>
  <si>
    <t>Porcentaje de examen</t>
  </si>
  <si>
    <t>No.</t>
  </si>
  <si>
    <t>Nombre del Alumno</t>
  </si>
  <si>
    <t>Porcentaje de Asistencia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</si>
  <si>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</si>
  <si>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</si>
  <si>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</si>
  <si>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</si>
  <si>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</si>
  <si>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</si>
  <si>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</si>
  <si>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</si>
  <si>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</si>
  <si>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</si>
  <si>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</si>
  <si>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</si>
  <si>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</si>
  <si>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</si>
  <si>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</si>
  <si>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</si>
  <si>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</si>
  <si>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</si>
  <si>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</si>
  <si>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</si>
  <si>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</si>
  <si>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</si>
  <si>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</si>
  <si>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</si>
  <si>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</si>
  <si>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</si>
  <si>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</si>
  <si>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</si>
  <si>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</si>
  <si>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</si>
  <si>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</si>
  <si>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</si>
  <si>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</si>
  <si>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</si>
  <si>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</si>
  <si>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</si>
  <si>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</si>
  <si>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</si>
  <si>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</si>
  <si>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</si>
  <si>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</si>
  <si>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</si>
  <si>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</si>
  <si>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</si>
  <si>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</si>
  <si>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</si>
  <si>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</si>
  <si>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</si>
  <si>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</si>
  <si>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</si>
  <si>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</si>
  <si>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</si>
  <si>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</si>
  <si>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</si>
  <si>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</si>
  <si>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</si>
  <si>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</si>
  <si>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</si>
  <si>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</si>
  <si>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</si>
  <si>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</si>
  <si>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</si>
  <si>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</si>
  <si>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</si>
  <si>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</si>
  <si>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</si>
  <si>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</si>
  <si>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</si>
  <si>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</si>
  <si>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</si>
  <si>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</si>
  <si>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</si>
  <si>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</si>
  <si>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Columna212</t>
  </si>
  <si>
    <t>Columna213</t>
  </si>
  <si>
    <t>Columna214</t>
  </si>
  <si>
    <t>Columna215</t>
  </si>
  <si>
    <t>Columna216</t>
  </si>
  <si>
    <t>Columna2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</si>
  <si>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</si>
  <si>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</si>
  <si>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</si>
  <si>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</si>
  <si>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</si>
  <si>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</si>
  <si>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</si>
  <si>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</si>
  <si>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</si>
  <si>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</si>
  <si>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</si>
  <si>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</si>
  <si>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</si>
  <si>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</si>
  <si>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</si>
  <si>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</si>
  <si>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Total de Asistencias</t>
  </si>
  <si>
    <t>Proyecto 1</t>
  </si>
  <si>
    <t>Proyecto 2</t>
  </si>
  <si>
    <t>Proyecto 3</t>
  </si>
  <si>
    <t>Khan Academy</t>
  </si>
  <si>
    <t>NOMBRE DE PILA</t>
  </si>
  <si>
    <t>Final provisional</t>
  </si>
  <si>
    <t>Final DGAE</t>
  </si>
  <si>
    <t>AGUILAR MENDEZ DANIEL</t>
  </si>
  <si>
    <t>ALVAREZ BERNAL FERNANDA ELIZABETH</t>
  </si>
  <si>
    <t>AMEZCUA RODRIGUEZ ALMA MICHELLE</t>
  </si>
  <si>
    <t>BARRIENTOS HERNANDEZ RENATA</t>
  </si>
  <si>
    <t>BAZ AVILA GIOVANNA</t>
  </si>
  <si>
    <t>CASTILLO DIAZ YAMILETH</t>
  </si>
  <si>
    <t>DIAZ CHAVEZ VANYA ALEJANDRA</t>
  </si>
  <si>
    <t>ESQUIVEL ROJAS MARCIAL</t>
  </si>
  <si>
    <t>FLORES CRUZ GERMAN ALBERTO</t>
  </si>
  <si>
    <t>GARCIA FLORES JUAN CARLOS</t>
  </si>
  <si>
    <t>GOMEZ GUZMAN ASHLY</t>
  </si>
  <si>
    <t>GRIJALVA AGUILAR KARLA</t>
  </si>
  <si>
    <t>GUZMAN HAU MARIO EMILIANO</t>
  </si>
  <si>
    <t>LOPEZ QUIJAS GRECIA</t>
  </si>
  <si>
    <t>LOPEZ RODRIGUEZ ALLISON ROMINA</t>
  </si>
  <si>
    <t>MARQUEZ LORANCA OSWALDO</t>
  </si>
  <si>
    <t>MARTINEZ MALDONADO DAYANA LISBETH</t>
  </si>
  <si>
    <t>MATA VALENCIA KEVIN JHONATAN</t>
  </si>
  <si>
    <t>MEDINA FLORES ALDO</t>
  </si>
  <si>
    <t>OCTAVIANO HERNANDEZ NAOMI LIZBETH</t>
  </si>
  <si>
    <t>RAMIREZ FLORES DULCE MARIA</t>
  </si>
  <si>
    <t>REYES PEREZ CAMILA</t>
  </si>
  <si>
    <t>ROJAS GARCIA MARIA JOSE</t>
  </si>
  <si>
    <t>ROMERO GARCIA AMAIRANY</t>
  </si>
  <si>
    <t>VEGA AVILA ALLISON HILLARY</t>
  </si>
  <si>
    <t>DANIEL</t>
  </si>
  <si>
    <t>RENATA</t>
  </si>
  <si>
    <t>GIOVANNA</t>
  </si>
  <si>
    <t>YAMILETH</t>
  </si>
  <si>
    <t>MARCIAL</t>
  </si>
  <si>
    <t>ASHLY</t>
  </si>
  <si>
    <t>KARLA</t>
  </si>
  <si>
    <t>GRECIA</t>
  </si>
  <si>
    <t>OSWALDO</t>
  </si>
  <si>
    <t>ALDO</t>
  </si>
  <si>
    <t>MARIA</t>
  </si>
  <si>
    <t>CAMILA</t>
  </si>
  <si>
    <t>AMAIRANY</t>
  </si>
  <si>
    <t>FERNANDA</t>
  </si>
  <si>
    <t>ALMA</t>
  </si>
  <si>
    <t>VANYA</t>
  </si>
  <si>
    <t>GERMAN</t>
  </si>
  <si>
    <t>JUAN</t>
  </si>
  <si>
    <t>MARIO</t>
  </si>
  <si>
    <t>ALLISON</t>
  </si>
  <si>
    <t>DAYANA</t>
  </si>
  <si>
    <t>KEVIN</t>
  </si>
  <si>
    <t>NAOMI</t>
  </si>
  <si>
    <t>DULCE</t>
  </si>
  <si>
    <t>miércoles, 02, septiembre</t>
  </si>
  <si>
    <t>viernes, 04, septiembre</t>
  </si>
  <si>
    <t>lunes, 07, septiembre</t>
  </si>
  <si>
    <t>miércoles, 09, septiembre</t>
  </si>
  <si>
    <t>lunes, 14, septiembre</t>
  </si>
  <si>
    <t>MARTINEZ MALDONADO LISBETH</t>
  </si>
  <si>
    <t>viernes, 18, septiembre</t>
  </si>
  <si>
    <t>lunes, 21, septiembre</t>
  </si>
  <si>
    <t>martes, 01, septiembre</t>
  </si>
  <si>
    <t>lunes, 05, octubre</t>
  </si>
  <si>
    <t>miércoles, 07,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</si>
</sst>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dd\,\ dd\,\ mmmm"/>
    <numFmt numFmtId="166" formatCode="[Green][=1]\✔\️;[Red][=2]\ \❌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Century Schoolbook"/>
      <family val="1"/>
    </font>
    <font>
      <sz val="8"/>
      <name val="Century Schoolbook"/>
      <family val="1"/>
    </font>
    <font>
      <sz val="11"/>
      <color rgb="FFC00000"/>
      <name val="Aptos Narrow"/>
      <family val="2"/>
      <scheme val="minor"/>
    </font>
    <font>
      <b/>
      <sz val="8"/>
      <color theme="1"/>
      <name val="Century Schoolbook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2" fontId="2" fillId="4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5" borderId="0" xfId="0" applyFill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horizontal="center" vertical="center" wrapText="1"/>
    </xf>
    <xf numFmtId="9" fontId="5" fillId="0" borderId="0" xfId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6" borderId="1" xfId="0" applyFont="1" applyFill="1" applyBorder="1"/>
    <xf numFmtId="0" fontId="2" fillId="0" borderId="1" xfId="0" applyFont="1" applyBorder="1"/>
  </cellXfs>
  <cellStyles count="2">
    <cellStyle name="Normal" xfId="0" builtinId="0"/>
    <cellStyle name="Porcentaje" xfId="1" builtinId="5"/>
  </cellStyles>
  <dxfs count="115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DBE4A-D7BA-4106-9004-184A8D42EE4F}" name="Tabla1" displayName="Tabla1" ref="A1:DE26" totalsRowShown="0" headerRowDxfId="114" dataDxfId="113">
  <autoFilter ref="A1:DE26" xr:uid="{2D107F7A-B36A-4E9C-BD03-84CE7C3C9C0D}"/>
  <tableColumns count="109">
    <tableColumn id="1" xr3:uid="{6D6B2947-F4DE-4373-AA25-971E4E695C94}" name="No." dataDxfId="112"/>
    <tableColumn id="2" xr3:uid="{B8FEC1C3-A81B-4458-AB3F-54DD98343627}" name="Nombre del Alumno" dataDxfId="111"/>
    <tableColumn id="3" xr3:uid="{03C1EF13-B8D4-4750-87F0-A528F678925A}" name="Porcentaje de Asistencia" dataDxfId="110" dataCellStyle="Porcentaje">
      <calculatedColumnFormula>SUMIF(Tabla1[[#This Row],[martes, 01, septiembre]:[Columna11]], 1,Tabla1[[#This Row],[martes, 01, septiembre]:[Columna11]])/COUNTA(Tabla1[[#This Row],[martes, 01, septiembre]:[Columna11]])</calculatedColumnFormula>
    </tableColumn>
    <tableColumn id="4" xr3:uid="{35F09F42-4C21-4557-AD0C-6B6600C0EC18}" name="martes, 01, septiembre" dataDxfId="109"/>
    <tableColumn id="5" xr3:uid="{80E4202A-1448-4448-B5D0-4A8B2CE7A116}" name="miércoles, 02, septiembre" dataDxfId="108"/>
    <tableColumn id="24" xr3:uid="{DBC8DBA9-7261-4160-9D00-4A3736293EB1}" name="viernes, 04, septiembre" dataDxfId="107"/>
    <tableColumn id="25" xr3:uid="{42C2D190-0902-4782-B9C2-75F8DE047170}" name="lunes, 07, septiembre" dataDxfId="106"/>
    <tableColumn id="26" xr3:uid="{FCF96A47-BEDA-468E-AF93-71492B313A59}" name="miércoles, 09, septiembre" dataDxfId="105"/>
    <tableColumn id="39" xr3:uid="{25BA813B-CCEF-4305-B0A7-7FD9981E5115}" name="lunes, 14, septiembre" dataDxfId="104"/>
    <tableColumn id="40" xr3:uid="{4F6D4C1C-9DD1-4724-88AE-2FAC0212ED00}" name="viernes, 18, septiembre" dataDxfId="103"/>
    <tableColumn id="41" xr3:uid="{BD9E4F56-9872-4891-B429-0EFEF2079CFC}" name="lunes, 21, septiembre" dataDxfId="102"/>
    <tableColumn id="42" xr3:uid="{DB4B7182-F11E-4656-8E00-EA9D8A3EF868}" name="lunes, 05, octubre" dataDxfId="101"/>
    <tableColumn id="43" xr3:uid="{33AFD5C8-013B-40DE-961C-6C7410B13DCF}" name="miércoles, 07, octubre" dataDxfId="100"/>
    <tableColumn id="44" xr3:uid="{1E988917-2B87-423F-99FF-4E6AF3743E14}" name="Columna147" dataDxfId="99"/>
    <tableColumn id="45" xr3:uid="{590ED27B-2DA1-46A8-A393-7646B10CC53A}" name="Columna148" dataDxfId="98"/>
    <tableColumn id="46" xr3:uid="{553F7F31-7AAE-4BCE-B509-6DFE52011758}" name="Columna149" dataDxfId="97"/>
    <tableColumn id="47" xr3:uid="{9A17F10D-7131-45AC-8D8B-007F136350AF}" name="Columna150" dataDxfId="96"/>
    <tableColumn id="48" xr3:uid="{AB40F2E9-B1F5-417F-87FB-27B669B857C0}" name="Columna151" dataDxfId="95"/>
    <tableColumn id="49" xr3:uid="{56CD78A3-1854-43FE-9193-6270092850EB}" name="Columna152" dataDxfId="94"/>
    <tableColumn id="50" xr3:uid="{FE3A32E5-F5E7-48E9-AECF-310560B6DC0A}" name="Columna153" dataDxfId="93"/>
    <tableColumn id="88" xr3:uid="{60D97746-324E-4FA6-AA7E-9A3E5D179C18}" name="Columna1532" dataDxfId="92"/>
    <tableColumn id="89" xr3:uid="{53E815E3-D99F-4584-AF40-C82E5701DDE1}" name="Columna1533" dataDxfId="91"/>
    <tableColumn id="90" xr3:uid="{A26312C7-364F-432E-8733-C0129C492D64}" name="Columna1534" dataDxfId="90"/>
    <tableColumn id="91" xr3:uid="{B549A3E2-A157-4643-9D53-43E444E1133E}" name="Columna1535" dataDxfId="89"/>
    <tableColumn id="92" xr3:uid="{339518BE-2105-4D0D-AC4D-A769B540D41A}" name="Columna1536" dataDxfId="88"/>
    <tableColumn id="93" xr3:uid="{47A859EC-7FC9-4B84-8649-3ECADB17328D}" name="Columna1537" dataDxfId="87"/>
    <tableColumn id="94" xr3:uid="{6210D9C7-34B2-4113-9DBC-3C00476B5632}" name="Columna1538" dataDxfId="86"/>
    <tableColumn id="95" xr3:uid="{AECEDC6C-A69A-477F-A85C-B8B66E795339}" name="Columna1539" dataDxfId="85"/>
    <tableColumn id="96" xr3:uid="{B23B8EE8-F9C9-4EEB-9590-DB1086E430F6}" name="Columna1540" dataDxfId="84"/>
    <tableColumn id="97" xr3:uid="{FDA39157-9907-46C9-BFDC-D7E3F6AC9265}" name="Columna1541" dataDxfId="83"/>
    <tableColumn id="98" xr3:uid="{0F077432-8BBD-423A-8AF3-12377B4CDDA7}" name="Columna15412" dataDxfId="82"/>
    <tableColumn id="99" xr3:uid="{072A819E-3126-4AF4-AD5C-589599648F29}" name="Columna15413" dataDxfId="81"/>
    <tableColumn id="100" xr3:uid="{314B929C-4829-4538-AC5A-350BDD912EB5}" name="Columna15414" dataDxfId="80"/>
    <tableColumn id="101" xr3:uid="{26CA0031-D454-4CDA-8604-20A0A93563BB}" name="Columna15415" dataDxfId="79"/>
    <tableColumn id="102" xr3:uid="{0AA8D058-5831-474F-8AEC-B73B8E396D8F}" name="Columna15416" dataDxfId="78"/>
    <tableColumn id="103" xr3:uid="{D70B3B43-6246-42FD-9586-C9CE8AD6879E}" name="Columna15417" dataDxfId="77"/>
    <tableColumn id="104" xr3:uid="{A6914FF0-8F94-4FD6-AEE1-1CBB59DEFFBD}" name="Columna15418" dataDxfId="76"/>
    <tableColumn id="105" xr3:uid="{BDAAE9E8-5F51-45DE-B536-E72B89F0753D}" name="Columna15419" dataDxfId="75"/>
    <tableColumn id="106" xr3:uid="{E8B0F65D-0A30-473D-8E5E-4560FD8F3263}" name="Columna15420" dataDxfId="74"/>
    <tableColumn id="107" xr3:uid="{DBDA1F26-4432-4B44-BDA2-A5D14109FBBE}" name="Columna15421" dataDxfId="73"/>
    <tableColumn id="108" xr3:uid="{DC2364A1-65DE-4A13-B7B0-7416D9FCBB64}" name="Columna15422" dataDxfId="72"/>
    <tableColumn id="109" xr3:uid="{64124655-C218-47D3-B91D-3FB316DB429B}" name="Columna15423" dataDxfId="71"/>
    <tableColumn id="51" xr3:uid="{FAEB0D58-6B5E-47AC-A05C-A00068CDC631}" name="Columna154" dataDxfId="70"/>
    <tableColumn id="67" xr3:uid="{7EEA4F73-E76F-4AD7-A9DF-89ED28E243D0}" name="Columna1542" dataDxfId="69"/>
    <tableColumn id="68" xr3:uid="{C56F8110-4104-43DC-9D8F-645707B2CEF8}" name="Columna1543" dataDxfId="68"/>
    <tableColumn id="69" xr3:uid="{29F5CC79-5264-4C4E-9A12-2F19935FDDCA}" name="Columna1544" dataDxfId="67"/>
    <tableColumn id="70" xr3:uid="{CF550105-38CD-43BE-815C-1728D81E9268}" name="Columna1545" dataDxfId="66"/>
    <tableColumn id="71" xr3:uid="{CC370FBA-3388-4C99-B0E7-419043DB91E4}" name="Columna1546" dataDxfId="65"/>
    <tableColumn id="72" xr3:uid="{33CC6C14-999B-4E84-BD23-D575DD5FA297}" name="Columna1547" dataDxfId="64"/>
    <tableColumn id="73" xr3:uid="{74C078B1-3F27-47E5-AB48-5386F78E749D}" name="Columna1548" dataDxfId="63"/>
    <tableColumn id="74" xr3:uid="{E98A6667-5A32-418C-90DD-A35CC849A5A3}" name="Columna1549" dataDxfId="62"/>
    <tableColumn id="75" xr3:uid="{694C178D-003A-458E-9535-8348085D029B}" name="Columna1550" dataDxfId="61"/>
    <tableColumn id="76" xr3:uid="{3EB87A1A-1DB6-4520-9F9D-FA4F5DD28709}" name="Columna1551" dataDxfId="60"/>
    <tableColumn id="77" xr3:uid="{D7AB9B5D-27DD-429E-B969-8B4FB29E081F}" name="Columna1552" dataDxfId="59"/>
    <tableColumn id="78" xr3:uid="{37F2548F-9210-4C38-889F-E3AD6556E88C}" name="Columna1553" dataDxfId="58"/>
    <tableColumn id="79" xr3:uid="{A9EF9BF6-7845-4647-9800-0120E82942FB}" name="Columna1554" dataDxfId="57"/>
    <tableColumn id="80" xr3:uid="{0FD8B8B4-1BB0-4F18-B0E8-20C17B10C7AA}" name="Columna1555" dataDxfId="56"/>
    <tableColumn id="81" xr3:uid="{0FAB8AD0-AEAA-4B5D-823F-A9EB7AF1C764}" name="Columna1556" dataDxfId="55"/>
    <tableColumn id="82" xr3:uid="{1E232C7C-C8FB-4E8F-9EC3-9407D3BA29AC}" name="Columna1557" dataDxfId="54"/>
    <tableColumn id="83" xr3:uid="{7707F354-4651-4476-9EF5-B6A92CBE6DAA}" name="Columna1558" dataDxfId="53"/>
    <tableColumn id="84" xr3:uid="{C2ED9C93-C08A-4A6B-9FB2-3D57D77987AD}" name="Columna1559" dataDxfId="52"/>
    <tableColumn id="85" xr3:uid="{005824EF-8C4A-4B79-A07D-919060876A7D}" name="Columna1560" dataDxfId="51"/>
    <tableColumn id="86" xr3:uid="{87954DAB-0B2F-47D5-A8DE-18FDFCF9560A}" name="Columna1561" dataDxfId="50"/>
    <tableColumn id="87" xr3:uid="{1C2DFC13-A0F0-4F43-80E8-8EBB1540AEAF}" name="Columna1562" dataDxfId="49"/>
    <tableColumn id="52" xr3:uid="{5A1E98B5-4C44-4EAB-BB4E-96AE7955E5E6}" name="Columna155" dataDxfId="48"/>
    <tableColumn id="53" xr3:uid="{2862F4F0-6173-443B-9600-211B8E748291}" name="Columna156" dataDxfId="47"/>
    <tableColumn id="54" xr3:uid="{E8687B8C-4AE1-412A-A6D0-E6F44781A7B9}" name="Columna157" dataDxfId="46"/>
    <tableColumn id="55" xr3:uid="{39888521-93D4-497C-915E-A36F8F4117C4}" name="Columna158" dataDxfId="45"/>
    <tableColumn id="56" xr3:uid="{67FB49F0-551E-4273-B3F2-469EBD61F390}" name="Columna159" dataDxfId="44"/>
    <tableColumn id="57" xr3:uid="{246B719F-F1F3-461A-BB40-77B71F3CA66A}" name="Columna160" dataDxfId="43"/>
    <tableColumn id="58" xr3:uid="{3D3EE4D7-1D4F-4ACA-9F76-7C000A8832A9}" name="Columna161" dataDxfId="42"/>
    <tableColumn id="59" xr3:uid="{30E9319D-4E7A-4B2E-866C-A206C394E9B4}" name="Columna162" dataDxfId="41"/>
    <tableColumn id="60" xr3:uid="{DFF8A672-5832-4C80-9081-34B544BD4042}" name="Columna163" dataDxfId="40"/>
    <tableColumn id="61" xr3:uid="{98FE4E54-8E23-4333-B418-C6DEA3B3FB56}" name="Columna164" dataDxfId="39"/>
    <tableColumn id="62" xr3:uid="{9FB72D89-21A5-4052-9C89-55AF7BCF395A}" name="Columna165" dataDxfId="38"/>
    <tableColumn id="63" xr3:uid="{FC8FD3EA-7965-46E9-967D-84F4313FBC8A}" name="Columna166" dataDxfId="37"/>
    <tableColumn id="64" xr3:uid="{06FE6B40-4030-47A4-893C-5E891D5A7FCC}" name="Columna167" dataDxfId="36"/>
    <tableColumn id="65" xr3:uid="{66D0BB6F-A836-4BA8-87FD-BF6C0986177D}" name="Columna168" dataDxfId="35"/>
    <tableColumn id="66" xr3:uid="{EB8CB7BF-170F-4483-A8D0-213391663C56}" name="Columna169" dataDxfId="34"/>
    <tableColumn id="27" xr3:uid="{170DDBFB-4905-432A-AF16-5B6E3C788D21}" name="Columna15" dataDxfId="33"/>
    <tableColumn id="28" xr3:uid="{3FA491BD-1F59-43C9-89A6-5F148418A11C}" name="Columna16" dataDxfId="32"/>
    <tableColumn id="29" xr3:uid="{709CCAB9-D7C5-4978-A1D7-0A38CC2D8F03}" name="Columna17" dataDxfId="31"/>
    <tableColumn id="30" xr3:uid="{F4F822AD-9218-469A-9125-6746E903AD01}" name="Columna18" dataDxfId="30"/>
    <tableColumn id="31" xr3:uid="{4DA75D6C-7148-4592-86B6-BA04BAFAB78A}" name="Columna19" dataDxfId="29"/>
    <tableColumn id="32" xr3:uid="{99B5A64B-3A82-4786-8AC4-D1B008BE7450}" name="Columna20" dataDxfId="28"/>
    <tableColumn id="33" xr3:uid="{50478A9C-5EE8-4880-AD5A-58D2A2720599}" name="Columna21" dataDxfId="27"/>
    <tableColumn id="34" xr3:uid="{BBAE0A61-4EC2-40F3-8CA2-A3032A640E78}" name="Columna212" dataDxfId="26"/>
    <tableColumn id="35" xr3:uid="{362F1FAB-1CDD-43E1-BBEF-4921A4CE1A8A}" name="Columna213" dataDxfId="25"/>
    <tableColumn id="36" xr3:uid="{51C18E19-22DA-4C8B-BEE1-7427844EDC50}" name="Columna214" dataDxfId="24"/>
    <tableColumn id="37" xr3:uid="{2195973A-A796-490D-9975-4E56C041307F}" name="Columna215" dataDxfId="23"/>
    <tableColumn id="38" xr3:uid="{1C7A4DBB-5429-4984-B43A-20EB790659D7}" name="Columna216" dataDxfId="22"/>
    <tableColumn id="16" xr3:uid="{DB3BC6BD-672F-41BB-A8BE-96CF3E784F7C}" name="Columna2" dataDxfId="21"/>
    <tableColumn id="17" xr3:uid="{04B57108-D41E-47FD-9808-0BA691AA5927}" name="Columna22" dataDxfId="20"/>
    <tableColumn id="18" xr3:uid="{5DE0625C-0708-4B49-AF1B-84902917E129}" name="Columna23" dataDxfId="19"/>
    <tableColumn id="19" xr3:uid="{D8DED4AF-EC37-4D62-A3E9-D7E2CEE71FE3}" name="Columna24" dataDxfId="18"/>
    <tableColumn id="20" xr3:uid="{39D8D8FD-86E5-4F2F-9F20-810CE3F2D9F5}" name="Columna25" dataDxfId="17"/>
    <tableColumn id="21" xr3:uid="{3F6A1583-0E64-4221-97EF-C439D87BF6F7}" name="Columna26" dataDxfId="16"/>
    <tableColumn id="22" xr3:uid="{614A7433-04BE-4F4A-B2E9-674B78414F93}" name="Columna27" dataDxfId="15"/>
    <tableColumn id="23" xr3:uid="{DB731F09-B831-4D9F-912C-AA51F0C58E31}" name="Columna28" dataDxfId="14"/>
    <tableColumn id="6" xr3:uid="{111D9E1D-3E2E-42F3-AE30-2C34527D92C3}" name="Columna3" dataDxfId="13"/>
    <tableColumn id="7" xr3:uid="{BD3AE222-AAF3-4FCC-8995-7D0C74B02D12}" name="Columna4" dataDxfId="12"/>
    <tableColumn id="8" xr3:uid="{66206F12-9CC1-4AEA-AC19-F6BB1B2FE7FE}" name="Columna5" dataDxfId="11"/>
    <tableColumn id="9" xr3:uid="{8C913B97-5D53-406F-B394-6C2FDA39B93B}" name="Columna6" dataDxfId="10"/>
    <tableColumn id="10" xr3:uid="{995D8788-394E-4479-8E6F-03B6FACA0D5A}" name="Columna7" dataDxfId="9"/>
    <tableColumn id="11" xr3:uid="{38E3A9A8-0A7B-42C8-AE48-82B98EFDB3C9}" name="Columna8" dataDxfId="8"/>
    <tableColumn id="12" xr3:uid="{A0990741-D23E-4B2C-BB91-8B491274AF8E}" name="Columna9" dataDxfId="7"/>
    <tableColumn id="13" xr3:uid="{D9ADCBD0-65F6-4A67-95DF-9FE495C5EC93}" name="Columna10" dataDxfId="6"/>
    <tableColumn id="14" xr3:uid="{64C9B4B5-562F-4F2D-B58B-E8BD413D6678}" name="Columna11" dataDxfId="5"/>
    <tableColumn id="15" xr3:uid="{085F7584-1947-4144-A687-A507FD700D3B}" name="Total de Asistencias" dataDxfId="4">
      <calculatedColumnFormula>SUMIF(Tabla1[[#This Row],[martes, 01, septiembre]:[Columna11]], 1,Tabla1[[#This Row],[martes, 01, septiembre]:[Columna11]])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ABEB-78B5-4BAE-B49D-0F1689057752}">
  <dimension ref="A1:X47"/>
  <sheetViews>
    <sheetView tabSelected="1" topLeftCell="A5" zoomScale="145" zoomScaleNormal="145" workbookViewId="0">
      <selection activeCell="Q27" sqref="Q27"/>
    </sheetView>
  </sheetViews>
  <sheetFormatPr baseColWidth="10" defaultColWidth="10.7265625" defaultRowHeight="14.5" x14ac:dyDescent="0.35"/>
  <cols>
    <col min="1" max="1" width="12.81640625" customWidth="1"/>
    <col min="2" max="2" width="34.1796875" style="15" customWidth="1"/>
    <col min="3" max="3" width="14.81640625" style="15" hidden="1" customWidth="1"/>
    <col min="4" max="4" width="8.90625" style="16" hidden="1" customWidth="1"/>
    <col min="5" max="5" width="8.1796875" style="15" hidden="1" customWidth="1"/>
    <col min="6" max="6" width="7.81640625" hidden="1" customWidth="1"/>
    <col min="7" max="7" width="7.54296875" hidden="1" customWidth="1"/>
    <col min="8" max="9" width="7.90625" hidden="1" customWidth="1"/>
    <col min="10" max="10" width="6.54296875" hidden="1" customWidth="1"/>
    <col min="11" max="11" width="11.453125" hidden="1" customWidth="1"/>
    <col min="12" max="13" width="6.453125" hidden="1" customWidth="1"/>
    <col min="14" max="14" width="7.08984375" hidden="1" customWidth="1"/>
    <col min="15" max="15" width="6.26953125" hidden="1" customWidth="1"/>
    <col min="16" max="16" width="8.453125" hidden="1" customWidth="1"/>
    <col min="17" max="17" width="7.36328125" customWidth="1"/>
    <col min="18" max="18" width="7.36328125" hidden="1" customWidth="1"/>
    <col min="19" max="23" width="11.453125" hidden="1" customWidth="1"/>
    <col min="24" max="24" width="10.7265625" hidden="1" customWidth="1"/>
    <col min="25" max="25" width="10.7265625" customWidth="1"/>
  </cols>
  <sheetData>
    <row r="1" spans="1:24" ht="31.5" x14ac:dyDescent="0.35">
      <c r="A1" s="3" t="s">
        <v>31</v>
      </c>
      <c r="B1" s="4" t="s">
        <v>0</v>
      </c>
      <c r="C1" s="4" t="s">
        <v>134</v>
      </c>
      <c r="D1" s="3" t="s">
        <v>1</v>
      </c>
      <c r="E1" s="5" t="s">
        <v>136</v>
      </c>
      <c r="F1" s="3" t="s">
        <v>135</v>
      </c>
      <c r="G1" s="6" t="s">
        <v>2</v>
      </c>
      <c r="H1" s="6" t="s">
        <v>3</v>
      </c>
      <c r="I1" s="6" t="s">
        <v>4</v>
      </c>
      <c r="J1" s="6" t="s">
        <v>5</v>
      </c>
      <c r="K1" s="7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7" t="s">
        <v>11</v>
      </c>
      <c r="Q1" s="3" t="s">
        <v>133</v>
      </c>
      <c r="R1" s="3" t="s">
        <v>12</v>
      </c>
      <c r="S1" s="7" t="s">
        <v>13</v>
      </c>
      <c r="T1" s="3" t="s">
        <v>130</v>
      </c>
      <c r="U1" s="3" t="s">
        <v>131</v>
      </c>
      <c r="V1" s="3" t="s">
        <v>132</v>
      </c>
      <c r="W1" s="7" t="s">
        <v>14</v>
      </c>
      <c r="X1" s="7" t="s">
        <v>15</v>
      </c>
    </row>
    <row r="2" spans="1:24" x14ac:dyDescent="0.35">
      <c r="A2" s="3">
        <v>327124380</v>
      </c>
      <c r="B2" s="4" t="s">
        <v>137</v>
      </c>
      <c r="C2" s="4" t="s">
        <v>162</v>
      </c>
      <c r="D2" s="8">
        <f>Tabla1[[#This Row],[Porcentaje de Asistencia]]</f>
        <v>1</v>
      </c>
      <c r="E2" s="9"/>
      <c r="F2" s="10">
        <f>IFERROR(IF(OR(K2="NP",P2="NP",S2="NP",W2="NP"),"NP",K2+P2+S2+W2+X2),0)</f>
        <v>3.8213793103448275</v>
      </c>
      <c r="G2" s="11"/>
      <c r="H2" s="11"/>
      <c r="I2" s="11"/>
      <c r="J2" s="11"/>
      <c r="K2" s="12">
        <f>IF(OR(G2="NP", H2="NP", I2="NP"), "NP", ((G2*$E$32/$E$33) + (I2*$E$32/$E$33) + (H2*$E$32/$E$33)+(J2*$E$32/$E$33))/10)</f>
        <v>0</v>
      </c>
      <c r="L2" s="11">
        <v>18</v>
      </c>
      <c r="M2" s="11"/>
      <c r="N2" s="2"/>
      <c r="O2" s="11">
        <f>SUM(L2:N2)</f>
        <v>18</v>
      </c>
      <c r="P2" s="12">
        <f>IFERROR((O2*2)/MAX($O$2:$O$25),0)</f>
        <v>1.2413793103448276</v>
      </c>
      <c r="Q2" s="11">
        <v>9.1999999999999993</v>
      </c>
      <c r="R2" s="13">
        <f>IFERROR(AVERAGE(Q2:Q2),0)</f>
        <v>9.1999999999999993</v>
      </c>
      <c r="S2" s="14">
        <f>R2*0.15</f>
        <v>1.38</v>
      </c>
      <c r="T2" s="11">
        <v>6</v>
      </c>
      <c r="U2" s="11"/>
      <c r="V2" s="11"/>
      <c r="W2" s="14">
        <f>IFERROR(AVERAGE(T2:V2)*0.2,0)</f>
        <v>1.2000000000000002</v>
      </c>
      <c r="X2" s="14"/>
    </row>
    <row r="3" spans="1:24" ht="15" customHeight="1" x14ac:dyDescent="0.35">
      <c r="A3" s="3">
        <v>327132891</v>
      </c>
      <c r="B3" s="4" t="s">
        <v>138</v>
      </c>
      <c r="C3" s="4" t="s">
        <v>175</v>
      </c>
      <c r="D3" s="8">
        <f>Tabla1[[#This Row],[Porcentaje de Asistencia]]</f>
        <v>1</v>
      </c>
      <c r="E3" s="9"/>
      <c r="F3" s="10">
        <f t="shared" ref="F3:F26" si="0">IFERROR(IF(OR(K3="NP",P3="NP",S3="NP",W3="NP"),"NP",K3+P3+S3+W3+X3),0)</f>
        <v>4.0124137931034483</v>
      </c>
      <c r="G3" s="11"/>
      <c r="H3" s="11"/>
      <c r="I3" s="11"/>
      <c r="J3" s="11"/>
      <c r="K3" s="12">
        <f t="shared" ref="K3:K26" si="1">IF(OR(G3="NP", H3="NP", I3="NP"), "NP", ((G3*$E$32/$E$33) + (I3*$E$32/$E$33) + (H3*$E$32/$E$33)+(J3*$E$32/$E$33))/10)</f>
        <v>0</v>
      </c>
      <c r="L3" s="11">
        <v>17</v>
      </c>
      <c r="M3" s="11"/>
      <c r="N3" s="2"/>
      <c r="O3" s="11">
        <f t="shared" ref="O3:O26" si="2">SUM(L3:N3)</f>
        <v>17</v>
      </c>
      <c r="P3" s="12">
        <f t="shared" ref="P3:P26" si="3">IFERROR((O3*2)/MAX($O$2:$O$25),0)</f>
        <v>1.1724137931034482</v>
      </c>
      <c r="Q3" s="11">
        <v>10</v>
      </c>
      <c r="R3" s="13">
        <f t="shared" ref="R3:R26" si="4">IFERROR(AVERAGE(Q3:Q3),0)</f>
        <v>10</v>
      </c>
      <c r="S3" s="14">
        <f t="shared" ref="S3:S26" si="5">R3*0.15</f>
        <v>1.5</v>
      </c>
      <c r="T3" s="11">
        <v>6.7</v>
      </c>
      <c r="U3" s="11"/>
      <c r="V3" s="11"/>
      <c r="W3" s="14">
        <f t="shared" ref="W3:W26" si="6">IFERROR(AVERAGE(T3:V3)*0.2,0)</f>
        <v>1.34</v>
      </c>
      <c r="X3" s="14"/>
    </row>
    <row r="4" spans="1:24" ht="15" customHeight="1" x14ac:dyDescent="0.35">
      <c r="A4" s="3">
        <v>327175052</v>
      </c>
      <c r="B4" s="4" t="s">
        <v>139</v>
      </c>
      <c r="C4" s="4" t="s">
        <v>176</v>
      </c>
      <c r="D4" s="8">
        <f>Tabla1[[#This Row],[Porcentaje de Asistencia]]</f>
        <v>1</v>
      </c>
      <c r="E4" s="9"/>
      <c r="F4" s="10">
        <f t="shared" si="0"/>
        <v>2.4655172413793105</v>
      </c>
      <c r="G4" s="11"/>
      <c r="H4" s="11"/>
      <c r="I4" s="11"/>
      <c r="J4" s="11"/>
      <c r="K4" s="12">
        <f t="shared" si="1"/>
        <v>0</v>
      </c>
      <c r="L4" s="11">
        <v>14</v>
      </c>
      <c r="M4" s="11"/>
      <c r="N4" s="2"/>
      <c r="O4" s="11">
        <f t="shared" si="2"/>
        <v>14</v>
      </c>
      <c r="P4" s="12">
        <f t="shared" si="3"/>
        <v>0.96551724137931039</v>
      </c>
      <c r="Q4" s="11">
        <v>10</v>
      </c>
      <c r="R4" s="13">
        <f t="shared" si="4"/>
        <v>10</v>
      </c>
      <c r="S4" s="14">
        <f t="shared" si="5"/>
        <v>1.5</v>
      </c>
      <c r="T4" s="11">
        <v>0</v>
      </c>
      <c r="U4" s="11"/>
      <c r="V4" s="11"/>
      <c r="W4" s="14">
        <f t="shared" si="6"/>
        <v>0</v>
      </c>
      <c r="X4" s="14"/>
    </row>
    <row r="5" spans="1:24" ht="15" customHeight="1" x14ac:dyDescent="0.35">
      <c r="A5" s="3">
        <v>327002761</v>
      </c>
      <c r="B5" s="4" t="s">
        <v>140</v>
      </c>
      <c r="C5" s="4" t="s">
        <v>163</v>
      </c>
      <c r="D5" s="8">
        <f>Tabla1[[#This Row],[Porcentaje de Asistencia]]</f>
        <v>1</v>
      </c>
      <c r="E5" s="9"/>
      <c r="F5" s="10">
        <f t="shared" si="0"/>
        <v>3.8532758620689656</v>
      </c>
      <c r="G5" s="11"/>
      <c r="H5" s="11"/>
      <c r="I5" s="11"/>
      <c r="J5" s="11"/>
      <c r="K5" s="12">
        <f t="shared" si="1"/>
        <v>0</v>
      </c>
      <c r="L5" s="11">
        <v>21</v>
      </c>
      <c r="M5" s="11"/>
      <c r="N5" s="2"/>
      <c r="O5" s="11">
        <f t="shared" si="2"/>
        <v>21</v>
      </c>
      <c r="P5" s="12">
        <f t="shared" si="3"/>
        <v>1.4482758620689655</v>
      </c>
      <c r="Q5" s="11">
        <v>7.5</v>
      </c>
      <c r="R5" s="13">
        <f t="shared" si="4"/>
        <v>7.5</v>
      </c>
      <c r="S5" s="14">
        <f t="shared" si="5"/>
        <v>1.125</v>
      </c>
      <c r="T5" s="11">
        <v>6.4</v>
      </c>
      <c r="U5" s="11"/>
      <c r="V5" s="11"/>
      <c r="W5" s="14">
        <f t="shared" si="6"/>
        <v>1.2800000000000002</v>
      </c>
      <c r="X5" s="14"/>
    </row>
    <row r="6" spans="1:24" ht="15" customHeight="1" x14ac:dyDescent="0.35">
      <c r="A6" s="3">
        <v>327172453</v>
      </c>
      <c r="B6" s="4" t="s">
        <v>141</v>
      </c>
      <c r="C6" s="4" t="s">
        <v>164</v>
      </c>
      <c r="D6" s="8">
        <f>Tabla1[[#This Row],[Porcentaje de Asistencia]]</f>
        <v>0.9</v>
      </c>
      <c r="E6" s="9"/>
      <c r="F6" s="10">
        <f t="shared" si="0"/>
        <v>3.5296551724137935</v>
      </c>
      <c r="G6" s="11"/>
      <c r="H6" s="11"/>
      <c r="I6" s="11"/>
      <c r="J6" s="11"/>
      <c r="K6" s="12">
        <f t="shared" si="1"/>
        <v>0</v>
      </c>
      <c r="L6" s="11">
        <v>10</v>
      </c>
      <c r="M6" s="11"/>
      <c r="N6" s="2"/>
      <c r="O6" s="11">
        <f t="shared" si="2"/>
        <v>10</v>
      </c>
      <c r="P6" s="12">
        <f t="shared" si="3"/>
        <v>0.68965517241379315</v>
      </c>
      <c r="Q6" s="11">
        <v>10</v>
      </c>
      <c r="R6" s="13">
        <f t="shared" si="4"/>
        <v>10</v>
      </c>
      <c r="S6" s="14">
        <f t="shared" si="5"/>
        <v>1.5</v>
      </c>
      <c r="T6" s="11">
        <v>6.7</v>
      </c>
      <c r="U6" s="11"/>
      <c r="V6" s="11"/>
      <c r="W6" s="14">
        <f t="shared" si="6"/>
        <v>1.34</v>
      </c>
      <c r="X6" s="14"/>
    </row>
    <row r="7" spans="1:24" ht="15" customHeight="1" x14ac:dyDescent="0.35">
      <c r="A7" s="3">
        <v>327283742</v>
      </c>
      <c r="B7" s="4" t="s">
        <v>142</v>
      </c>
      <c r="C7" s="4" t="s">
        <v>165</v>
      </c>
      <c r="D7" s="8">
        <f>Tabla1[[#This Row],[Porcentaje de Asistencia]]</f>
        <v>0.8</v>
      </c>
      <c r="E7" s="9"/>
      <c r="F7" s="10">
        <f t="shared" si="0"/>
        <v>4.633103448275862</v>
      </c>
      <c r="G7" s="11"/>
      <c r="H7" s="11"/>
      <c r="I7" s="11"/>
      <c r="J7" s="11"/>
      <c r="K7" s="12">
        <f t="shared" si="1"/>
        <v>0</v>
      </c>
      <c r="L7" s="11">
        <v>26</v>
      </c>
      <c r="M7" s="11"/>
      <c r="N7" s="2"/>
      <c r="O7" s="11">
        <f t="shared" si="2"/>
        <v>26</v>
      </c>
      <c r="P7" s="12">
        <f t="shared" si="3"/>
        <v>1.7931034482758621</v>
      </c>
      <c r="Q7" s="11">
        <v>10</v>
      </c>
      <c r="R7" s="13">
        <f t="shared" si="4"/>
        <v>10</v>
      </c>
      <c r="S7" s="14">
        <f t="shared" si="5"/>
        <v>1.5</v>
      </c>
      <c r="T7" s="11">
        <v>6.7</v>
      </c>
      <c r="U7" s="11"/>
      <c r="V7" s="11"/>
      <c r="W7" s="14">
        <f t="shared" si="6"/>
        <v>1.34</v>
      </c>
      <c r="X7" s="14"/>
    </row>
    <row r="8" spans="1:24" ht="15" customHeight="1" x14ac:dyDescent="0.35">
      <c r="A8" s="3">
        <v>327314996</v>
      </c>
      <c r="B8" s="4" t="s">
        <v>143</v>
      </c>
      <c r="C8" s="4" t="s">
        <v>177</v>
      </c>
      <c r="D8" s="8">
        <f>Tabla1[[#This Row],[Porcentaje de Asistencia]]</f>
        <v>0.5</v>
      </c>
      <c r="E8" s="9"/>
      <c r="F8" s="10">
        <f t="shared" si="0"/>
        <v>1.9377586206896553</v>
      </c>
      <c r="G8" s="11"/>
      <c r="H8" s="11"/>
      <c r="I8" s="11"/>
      <c r="J8" s="11"/>
      <c r="K8" s="12">
        <f t="shared" si="1"/>
        <v>0</v>
      </c>
      <c r="L8" s="11">
        <v>7</v>
      </c>
      <c r="M8" s="11"/>
      <c r="N8" s="2"/>
      <c r="O8" s="11">
        <f t="shared" si="2"/>
        <v>7</v>
      </c>
      <c r="P8" s="12">
        <f t="shared" si="3"/>
        <v>0.48275862068965519</v>
      </c>
      <c r="Q8" s="11">
        <v>1.7</v>
      </c>
      <c r="R8" s="13">
        <f t="shared" si="4"/>
        <v>1.7</v>
      </c>
      <c r="S8" s="14">
        <f t="shared" si="5"/>
        <v>0.255</v>
      </c>
      <c r="T8" s="11">
        <v>6</v>
      </c>
      <c r="U8" s="11"/>
      <c r="V8" s="11"/>
      <c r="W8" s="14">
        <f t="shared" si="6"/>
        <v>1.2000000000000002</v>
      </c>
      <c r="X8" s="14"/>
    </row>
    <row r="9" spans="1:24" ht="15" customHeight="1" x14ac:dyDescent="0.35">
      <c r="A9" s="3">
        <v>327222077</v>
      </c>
      <c r="B9" s="4" t="s">
        <v>144</v>
      </c>
      <c r="C9" s="4" t="s">
        <v>166</v>
      </c>
      <c r="D9" s="8">
        <f>Tabla1[[#This Row],[Porcentaje de Asistencia]]</f>
        <v>1</v>
      </c>
      <c r="E9" s="9"/>
      <c r="F9" s="10">
        <f t="shared" si="0"/>
        <v>3.4724137931034482</v>
      </c>
      <c r="G9" s="11"/>
      <c r="H9" s="11"/>
      <c r="I9" s="11"/>
      <c r="J9" s="11"/>
      <c r="K9" s="12">
        <f t="shared" si="1"/>
        <v>0</v>
      </c>
      <c r="L9" s="11">
        <v>17</v>
      </c>
      <c r="M9" s="11"/>
      <c r="N9" s="2"/>
      <c r="O9" s="11">
        <f t="shared" si="2"/>
        <v>17</v>
      </c>
      <c r="P9" s="12">
        <f t="shared" si="3"/>
        <v>1.1724137931034482</v>
      </c>
      <c r="Q9" s="11">
        <v>6.4</v>
      </c>
      <c r="R9" s="13">
        <f t="shared" si="4"/>
        <v>6.4</v>
      </c>
      <c r="S9" s="14">
        <f t="shared" si="5"/>
        <v>0.96</v>
      </c>
      <c r="T9" s="11">
        <v>6.7</v>
      </c>
      <c r="U9" s="11"/>
      <c r="V9" s="11"/>
      <c r="W9" s="14">
        <f t="shared" si="6"/>
        <v>1.34</v>
      </c>
      <c r="X9" s="14"/>
    </row>
    <row r="10" spans="1:24" ht="15" customHeight="1" x14ac:dyDescent="0.35">
      <c r="A10" s="3">
        <v>327190417</v>
      </c>
      <c r="B10" s="4" t="s">
        <v>145</v>
      </c>
      <c r="C10" s="4" t="s">
        <v>178</v>
      </c>
      <c r="D10" s="8">
        <f>Tabla1[[#This Row],[Porcentaje de Asistencia]]</f>
        <v>0.9</v>
      </c>
      <c r="E10" s="9"/>
      <c r="F10" s="10">
        <f t="shared" si="0"/>
        <v>3.7882758620689656</v>
      </c>
      <c r="G10" s="11"/>
      <c r="H10" s="11"/>
      <c r="I10" s="11"/>
      <c r="J10" s="11"/>
      <c r="K10" s="12">
        <f t="shared" si="1"/>
        <v>0</v>
      </c>
      <c r="L10" s="11">
        <v>21</v>
      </c>
      <c r="M10" s="11"/>
      <c r="N10" s="2"/>
      <c r="O10" s="11">
        <f t="shared" si="2"/>
        <v>21</v>
      </c>
      <c r="P10" s="12">
        <f t="shared" si="3"/>
        <v>1.4482758620689655</v>
      </c>
      <c r="Q10" s="11">
        <v>7.6</v>
      </c>
      <c r="R10" s="13">
        <f t="shared" si="4"/>
        <v>7.6</v>
      </c>
      <c r="S10" s="14">
        <f t="shared" si="5"/>
        <v>1.1399999999999999</v>
      </c>
      <c r="T10" s="11">
        <v>6</v>
      </c>
      <c r="U10" s="11"/>
      <c r="V10" s="11"/>
      <c r="W10" s="14">
        <f t="shared" si="6"/>
        <v>1.2000000000000002</v>
      </c>
      <c r="X10" s="14"/>
    </row>
    <row r="11" spans="1:24" ht="15" customHeight="1" x14ac:dyDescent="0.35">
      <c r="A11" s="3">
        <v>327088619</v>
      </c>
      <c r="B11" s="4" t="s">
        <v>146</v>
      </c>
      <c r="C11" s="4" t="s">
        <v>179</v>
      </c>
      <c r="D11" s="8">
        <f>Tabla1[[#This Row],[Porcentaje de Asistencia]]</f>
        <v>0.9</v>
      </c>
      <c r="E11" s="9"/>
      <c r="F11" s="10">
        <f t="shared" si="0"/>
        <v>3.2532758620689659</v>
      </c>
      <c r="G11" s="11"/>
      <c r="H11" s="11"/>
      <c r="I11" s="11"/>
      <c r="J11" s="11"/>
      <c r="K11" s="12">
        <f t="shared" si="1"/>
        <v>0</v>
      </c>
      <c r="L11" s="11">
        <v>21</v>
      </c>
      <c r="M11" s="11"/>
      <c r="N11" s="2"/>
      <c r="O11" s="11">
        <f t="shared" si="2"/>
        <v>21</v>
      </c>
      <c r="P11" s="12">
        <f t="shared" si="3"/>
        <v>1.4482758620689655</v>
      </c>
      <c r="Q11" s="11">
        <v>3.5</v>
      </c>
      <c r="R11" s="13">
        <f t="shared" si="4"/>
        <v>3.5</v>
      </c>
      <c r="S11" s="14">
        <f t="shared" si="5"/>
        <v>0.52500000000000002</v>
      </c>
      <c r="T11" s="11">
        <v>6.4</v>
      </c>
      <c r="U11" s="11"/>
      <c r="V11" s="11"/>
      <c r="W11" s="14">
        <f t="shared" si="6"/>
        <v>1.2800000000000002</v>
      </c>
      <c r="X11" s="14"/>
    </row>
    <row r="12" spans="1:24" ht="15" customHeight="1" x14ac:dyDescent="0.35">
      <c r="A12" s="3">
        <v>326188716</v>
      </c>
      <c r="B12" s="4" t="s">
        <v>147</v>
      </c>
      <c r="C12" s="4" t="s">
        <v>167</v>
      </c>
      <c r="D12" s="8">
        <f>Tabla1[[#This Row],[Porcentaje de Asistencia]]</f>
        <v>1</v>
      </c>
      <c r="E12" s="9"/>
      <c r="F12" s="10">
        <f t="shared" si="0"/>
        <v>4.402241379310345</v>
      </c>
      <c r="G12" s="11"/>
      <c r="H12" s="11"/>
      <c r="I12" s="11"/>
      <c r="J12" s="11"/>
      <c r="K12" s="12">
        <f t="shared" si="1"/>
        <v>0</v>
      </c>
      <c r="L12" s="11">
        <v>22</v>
      </c>
      <c r="M12" s="11"/>
      <c r="N12" s="2"/>
      <c r="O12" s="11">
        <f t="shared" si="2"/>
        <v>22</v>
      </c>
      <c r="P12" s="12">
        <f t="shared" si="3"/>
        <v>1.5172413793103448</v>
      </c>
      <c r="Q12" s="11">
        <v>5.9</v>
      </c>
      <c r="R12" s="13">
        <f t="shared" si="4"/>
        <v>5.9</v>
      </c>
      <c r="S12" s="14">
        <f t="shared" si="5"/>
        <v>0.88500000000000001</v>
      </c>
      <c r="T12" s="11">
        <v>10</v>
      </c>
      <c r="U12" s="11"/>
      <c r="V12" s="11"/>
      <c r="W12" s="14">
        <f t="shared" si="6"/>
        <v>2</v>
      </c>
      <c r="X12" s="14"/>
    </row>
    <row r="13" spans="1:24" ht="15" customHeight="1" x14ac:dyDescent="0.35">
      <c r="A13" s="3">
        <v>327109217</v>
      </c>
      <c r="B13" s="4" t="s">
        <v>148</v>
      </c>
      <c r="C13" s="4" t="s">
        <v>168</v>
      </c>
      <c r="D13" s="8">
        <f>Tabla1[[#This Row],[Porcentaje de Asistencia]]</f>
        <v>1</v>
      </c>
      <c r="E13" s="9"/>
      <c r="F13" s="10">
        <f t="shared" si="0"/>
        <v>3.1850000000000001</v>
      </c>
      <c r="G13" s="11"/>
      <c r="H13" s="11"/>
      <c r="I13" s="11"/>
      <c r="J13" s="11"/>
      <c r="K13" s="12">
        <f t="shared" si="1"/>
        <v>0</v>
      </c>
      <c r="L13" s="11">
        <v>0</v>
      </c>
      <c r="M13" s="11"/>
      <c r="N13" s="2"/>
      <c r="O13" s="11">
        <f t="shared" si="2"/>
        <v>0</v>
      </c>
      <c r="P13" s="12">
        <f t="shared" si="3"/>
        <v>0</v>
      </c>
      <c r="Q13" s="11">
        <v>7.9</v>
      </c>
      <c r="R13" s="13">
        <f t="shared" si="4"/>
        <v>7.9</v>
      </c>
      <c r="S13" s="14">
        <f t="shared" si="5"/>
        <v>1.1850000000000001</v>
      </c>
      <c r="T13" s="11">
        <v>10</v>
      </c>
      <c r="U13" s="11"/>
      <c r="V13" s="11"/>
      <c r="W13" s="14">
        <f t="shared" si="6"/>
        <v>2</v>
      </c>
      <c r="X13" s="14"/>
    </row>
    <row r="14" spans="1:24" ht="15" customHeight="1" x14ac:dyDescent="0.35">
      <c r="A14" s="3">
        <v>327148250</v>
      </c>
      <c r="B14" s="4" t="s">
        <v>149</v>
      </c>
      <c r="C14" s="4" t="s">
        <v>180</v>
      </c>
      <c r="D14" s="8">
        <f>Tabla1[[#This Row],[Porcentaje de Asistencia]]</f>
        <v>0.8</v>
      </c>
      <c r="E14" s="9"/>
      <c r="F14" s="10">
        <f t="shared" si="0"/>
        <v>2.4617241379310348</v>
      </c>
      <c r="G14" s="11"/>
      <c r="H14" s="11"/>
      <c r="I14" s="11"/>
      <c r="J14" s="11"/>
      <c r="K14" s="12">
        <f t="shared" si="1"/>
        <v>0</v>
      </c>
      <c r="L14" s="11">
        <v>8</v>
      </c>
      <c r="M14" s="11"/>
      <c r="N14" s="2"/>
      <c r="O14" s="11">
        <f t="shared" si="2"/>
        <v>8</v>
      </c>
      <c r="P14" s="12">
        <f t="shared" si="3"/>
        <v>0.55172413793103448</v>
      </c>
      <c r="Q14" s="11">
        <v>4.2</v>
      </c>
      <c r="R14" s="13">
        <f t="shared" si="4"/>
        <v>4.2</v>
      </c>
      <c r="S14" s="14">
        <f t="shared" si="5"/>
        <v>0.63</v>
      </c>
      <c r="T14" s="11">
        <v>6.4</v>
      </c>
      <c r="U14" s="11"/>
      <c r="V14" s="11"/>
      <c r="W14" s="14">
        <f t="shared" si="6"/>
        <v>1.2800000000000002</v>
      </c>
      <c r="X14" s="14"/>
    </row>
    <row r="15" spans="1:24" ht="15" customHeight="1" x14ac:dyDescent="0.35">
      <c r="A15" s="3">
        <v>327055231</v>
      </c>
      <c r="B15" s="4" t="s">
        <v>150</v>
      </c>
      <c r="C15" s="4" t="s">
        <v>169</v>
      </c>
      <c r="D15" s="8">
        <f>Tabla1[[#This Row],[Porcentaje de Asistencia]]</f>
        <v>1</v>
      </c>
      <c r="E15" s="9"/>
      <c r="F15" s="10">
        <f t="shared" si="0"/>
        <v>3.6944827586206896</v>
      </c>
      <c r="G15" s="11"/>
      <c r="H15" s="11"/>
      <c r="I15" s="11"/>
      <c r="J15" s="11"/>
      <c r="K15" s="12">
        <f t="shared" si="1"/>
        <v>0</v>
      </c>
      <c r="L15" s="11">
        <v>15</v>
      </c>
      <c r="M15" s="11"/>
      <c r="N15" s="2"/>
      <c r="O15" s="11">
        <f t="shared" si="2"/>
        <v>15</v>
      </c>
      <c r="P15" s="12">
        <f t="shared" si="3"/>
        <v>1.0344827586206897</v>
      </c>
      <c r="Q15" s="11">
        <v>8.8000000000000007</v>
      </c>
      <c r="R15" s="13">
        <f t="shared" si="4"/>
        <v>8.8000000000000007</v>
      </c>
      <c r="S15" s="14">
        <f t="shared" si="5"/>
        <v>1.32</v>
      </c>
      <c r="T15" s="11">
        <v>6.7</v>
      </c>
      <c r="U15" s="11"/>
      <c r="V15" s="11"/>
      <c r="W15" s="14">
        <f t="shared" si="6"/>
        <v>1.34</v>
      </c>
      <c r="X15" s="14"/>
    </row>
    <row r="16" spans="1:24" ht="15" customHeight="1" x14ac:dyDescent="0.35">
      <c r="A16" s="3">
        <v>327109499</v>
      </c>
      <c r="B16" s="4" t="s">
        <v>151</v>
      </c>
      <c r="C16" s="4" t="s">
        <v>181</v>
      </c>
      <c r="D16" s="8">
        <f>Tabla1[[#This Row],[Porcentaje de Asistencia]]</f>
        <v>0.9</v>
      </c>
      <c r="E16" s="9"/>
      <c r="F16" s="10">
        <f t="shared" si="0"/>
        <v>4.0843103448275864</v>
      </c>
      <c r="G16" s="11"/>
      <c r="H16" s="11"/>
      <c r="I16" s="11"/>
      <c r="J16" s="11"/>
      <c r="K16" s="12">
        <f t="shared" si="1"/>
        <v>0</v>
      </c>
      <c r="L16" s="11">
        <v>20</v>
      </c>
      <c r="M16" s="11"/>
      <c r="N16" s="2"/>
      <c r="O16" s="11">
        <f t="shared" si="2"/>
        <v>20</v>
      </c>
      <c r="P16" s="12">
        <f t="shared" si="3"/>
        <v>1.3793103448275863</v>
      </c>
      <c r="Q16" s="11">
        <v>9.5</v>
      </c>
      <c r="R16" s="13">
        <f t="shared" si="4"/>
        <v>9.5</v>
      </c>
      <c r="S16" s="14">
        <f t="shared" si="5"/>
        <v>1.425</v>
      </c>
      <c r="T16" s="11">
        <v>6.4</v>
      </c>
      <c r="U16" s="11"/>
      <c r="V16" s="11"/>
      <c r="W16" s="14">
        <f t="shared" si="6"/>
        <v>1.2800000000000002</v>
      </c>
      <c r="X16" s="14"/>
    </row>
    <row r="17" spans="1:24" ht="15" customHeight="1" x14ac:dyDescent="0.35">
      <c r="A17" s="3">
        <v>327096955</v>
      </c>
      <c r="B17" s="4" t="s">
        <v>152</v>
      </c>
      <c r="C17" s="4" t="s">
        <v>170</v>
      </c>
      <c r="D17" s="8">
        <f>Tabla1[[#This Row],[Porcentaje de Asistencia]]</f>
        <v>1</v>
      </c>
      <c r="E17" s="9"/>
      <c r="F17" s="10">
        <f t="shared" si="0"/>
        <v>3.8294827586206894</v>
      </c>
      <c r="G17" s="11"/>
      <c r="H17" s="11"/>
      <c r="I17" s="11"/>
      <c r="J17" s="11"/>
      <c r="K17" s="12">
        <f t="shared" si="1"/>
        <v>0</v>
      </c>
      <c r="L17" s="11">
        <v>15</v>
      </c>
      <c r="M17" s="11"/>
      <c r="N17" s="2"/>
      <c r="O17" s="11">
        <f t="shared" si="2"/>
        <v>15</v>
      </c>
      <c r="P17" s="12">
        <f t="shared" si="3"/>
        <v>1.0344827586206897</v>
      </c>
      <c r="Q17" s="11">
        <v>9.6999999999999993</v>
      </c>
      <c r="R17" s="13">
        <f t="shared" si="4"/>
        <v>9.6999999999999993</v>
      </c>
      <c r="S17" s="14">
        <f t="shared" si="5"/>
        <v>1.4549999999999998</v>
      </c>
      <c r="T17" s="11">
        <v>6.7</v>
      </c>
      <c r="U17" s="11"/>
      <c r="V17" s="11"/>
      <c r="W17" s="14">
        <f t="shared" si="6"/>
        <v>1.34</v>
      </c>
      <c r="X17" s="14"/>
    </row>
    <row r="18" spans="1:24" ht="15" customHeight="1" x14ac:dyDescent="0.35">
      <c r="A18" s="3">
        <v>327231004</v>
      </c>
      <c r="B18" s="4" t="s">
        <v>153</v>
      </c>
      <c r="C18" s="4" t="s">
        <v>182</v>
      </c>
      <c r="D18" s="8">
        <f>Tabla1[[#This Row],[Porcentaje de Asistencia]]</f>
        <v>0.9</v>
      </c>
      <c r="E18" s="9"/>
      <c r="F18" s="10">
        <f t="shared" si="0"/>
        <v>3.3913793103448278</v>
      </c>
      <c r="G18" s="11"/>
      <c r="H18" s="11"/>
      <c r="I18" s="11"/>
      <c r="J18" s="11"/>
      <c r="K18" s="12">
        <f t="shared" si="1"/>
        <v>0</v>
      </c>
      <c r="L18" s="11">
        <v>18</v>
      </c>
      <c r="M18" s="11"/>
      <c r="N18" s="2"/>
      <c r="O18" s="11">
        <f t="shared" si="2"/>
        <v>18</v>
      </c>
      <c r="P18" s="12">
        <f t="shared" si="3"/>
        <v>1.2413793103448276</v>
      </c>
      <c r="Q18" s="11">
        <v>5.4</v>
      </c>
      <c r="R18" s="13">
        <f t="shared" si="4"/>
        <v>5.4</v>
      </c>
      <c r="S18" s="14">
        <f t="shared" si="5"/>
        <v>0.81</v>
      </c>
      <c r="T18" s="11">
        <v>6.7</v>
      </c>
      <c r="U18" s="11"/>
      <c r="V18" s="11"/>
      <c r="W18" s="14">
        <f t="shared" si="6"/>
        <v>1.34</v>
      </c>
      <c r="X18" s="14"/>
    </row>
    <row r="19" spans="1:24" ht="15" customHeight="1" x14ac:dyDescent="0.35">
      <c r="A19" s="3">
        <v>327251196</v>
      </c>
      <c r="B19" s="4" t="s">
        <v>154</v>
      </c>
      <c r="C19" s="4" t="s">
        <v>183</v>
      </c>
      <c r="D19" s="8">
        <f>Tabla1[[#This Row],[Porcentaje de Asistencia]]</f>
        <v>0.9</v>
      </c>
      <c r="E19" s="9"/>
      <c r="F19" s="10">
        <f t="shared" si="0"/>
        <v>3.5934482758620687</v>
      </c>
      <c r="G19" s="11"/>
      <c r="H19" s="11"/>
      <c r="I19" s="11"/>
      <c r="J19" s="11"/>
      <c r="K19" s="12">
        <f t="shared" si="1"/>
        <v>0</v>
      </c>
      <c r="L19" s="11">
        <v>16</v>
      </c>
      <c r="M19" s="11"/>
      <c r="N19" s="2"/>
      <c r="O19" s="11">
        <f t="shared" si="2"/>
        <v>16</v>
      </c>
      <c r="P19" s="12">
        <f t="shared" si="3"/>
        <v>1.103448275862069</v>
      </c>
      <c r="Q19" s="11">
        <v>8.6</v>
      </c>
      <c r="R19" s="13">
        <f t="shared" si="4"/>
        <v>8.6</v>
      </c>
      <c r="S19" s="14">
        <f t="shared" si="5"/>
        <v>1.2899999999999998</v>
      </c>
      <c r="T19" s="11">
        <v>6</v>
      </c>
      <c r="U19" s="11"/>
      <c r="V19" s="11"/>
      <c r="W19" s="14">
        <f t="shared" si="6"/>
        <v>1.2000000000000002</v>
      </c>
      <c r="X19" s="14"/>
    </row>
    <row r="20" spans="1:24" ht="15" customHeight="1" x14ac:dyDescent="0.35">
      <c r="A20" s="3">
        <v>327349701</v>
      </c>
      <c r="B20" s="4" t="s">
        <v>155</v>
      </c>
      <c r="C20" s="4" t="s">
        <v>171</v>
      </c>
      <c r="D20" s="8">
        <f>Tabla1[[#This Row],[Porcentaje de Asistencia]]</f>
        <v>0.9</v>
      </c>
      <c r="E20" s="9"/>
      <c r="F20" s="10">
        <f t="shared" si="0"/>
        <v>4.1801724137931036</v>
      </c>
      <c r="G20" s="11"/>
      <c r="H20" s="11"/>
      <c r="I20" s="11"/>
      <c r="J20" s="11"/>
      <c r="K20" s="12">
        <f t="shared" si="1"/>
        <v>0</v>
      </c>
      <c r="L20" s="11">
        <v>24</v>
      </c>
      <c r="M20" s="11"/>
      <c r="N20" s="2"/>
      <c r="O20" s="11">
        <f t="shared" si="2"/>
        <v>24</v>
      </c>
      <c r="P20" s="12">
        <f t="shared" si="3"/>
        <v>1.6551724137931034</v>
      </c>
      <c r="Q20" s="11">
        <v>7.9</v>
      </c>
      <c r="R20" s="13">
        <f t="shared" si="4"/>
        <v>7.9</v>
      </c>
      <c r="S20" s="14">
        <f t="shared" si="5"/>
        <v>1.1850000000000001</v>
      </c>
      <c r="T20" s="11">
        <v>6.7</v>
      </c>
      <c r="U20" s="11"/>
      <c r="V20" s="11"/>
      <c r="W20" s="14">
        <f t="shared" si="6"/>
        <v>1.34</v>
      </c>
      <c r="X20" s="14"/>
    </row>
    <row r="21" spans="1:24" ht="15" customHeight="1" x14ac:dyDescent="0.35">
      <c r="A21" s="3">
        <v>327278160</v>
      </c>
      <c r="B21" s="4" t="s">
        <v>156</v>
      </c>
      <c r="C21" s="4" t="s">
        <v>184</v>
      </c>
      <c r="D21" s="8">
        <f>Tabla1[[#This Row],[Porcentaje de Asistencia]]</f>
        <v>1</v>
      </c>
      <c r="E21" s="9"/>
      <c r="F21" s="10">
        <f t="shared" si="0"/>
        <v>4.84</v>
      </c>
      <c r="G21" s="11"/>
      <c r="H21" s="11"/>
      <c r="I21" s="11"/>
      <c r="J21" s="11"/>
      <c r="K21" s="12">
        <f t="shared" si="1"/>
        <v>0</v>
      </c>
      <c r="L21" s="11">
        <v>29</v>
      </c>
      <c r="M21" s="11"/>
      <c r="N21" s="2"/>
      <c r="O21" s="11">
        <f t="shared" si="2"/>
        <v>29</v>
      </c>
      <c r="P21" s="12">
        <f t="shared" si="3"/>
        <v>2</v>
      </c>
      <c r="Q21" s="11">
        <v>10</v>
      </c>
      <c r="R21" s="13">
        <f t="shared" si="4"/>
        <v>10</v>
      </c>
      <c r="S21" s="14">
        <f t="shared" si="5"/>
        <v>1.5</v>
      </c>
      <c r="T21" s="11">
        <v>6.7</v>
      </c>
      <c r="U21" s="11"/>
      <c r="V21" s="11"/>
      <c r="W21" s="14">
        <f t="shared" si="6"/>
        <v>1.34</v>
      </c>
      <c r="X21" s="14"/>
    </row>
    <row r="22" spans="1:24" ht="15" customHeight="1" x14ac:dyDescent="0.35">
      <c r="A22" s="3">
        <v>327002156</v>
      </c>
      <c r="B22" s="4" t="s">
        <v>157</v>
      </c>
      <c r="C22" s="4" t="s">
        <v>185</v>
      </c>
      <c r="D22" s="8">
        <f>Tabla1[[#This Row],[Porcentaje de Asistencia]]</f>
        <v>1</v>
      </c>
      <c r="E22" s="9"/>
      <c r="F22" s="10">
        <f t="shared" si="0"/>
        <v>2.8484482758620691</v>
      </c>
      <c r="G22" s="11"/>
      <c r="H22" s="11"/>
      <c r="I22" s="11"/>
      <c r="J22" s="11"/>
      <c r="K22" s="12">
        <f t="shared" si="1"/>
        <v>0</v>
      </c>
      <c r="L22" s="11">
        <v>16</v>
      </c>
      <c r="M22" s="11"/>
      <c r="N22" s="2"/>
      <c r="O22" s="11">
        <f t="shared" si="2"/>
        <v>16</v>
      </c>
      <c r="P22" s="12">
        <f t="shared" si="3"/>
        <v>1.103448275862069</v>
      </c>
      <c r="Q22" s="11">
        <v>2.7</v>
      </c>
      <c r="R22" s="13">
        <f t="shared" si="4"/>
        <v>2.7</v>
      </c>
      <c r="S22" s="14">
        <f t="shared" si="5"/>
        <v>0.40500000000000003</v>
      </c>
      <c r="T22" s="11">
        <v>6.7</v>
      </c>
      <c r="U22" s="11"/>
      <c r="V22" s="11"/>
      <c r="W22" s="14">
        <f t="shared" si="6"/>
        <v>1.34</v>
      </c>
      <c r="X22" s="14"/>
    </row>
    <row r="23" spans="1:24" ht="15" customHeight="1" x14ac:dyDescent="0.35">
      <c r="A23" s="3">
        <v>327128364</v>
      </c>
      <c r="B23" s="4" t="s">
        <v>158</v>
      </c>
      <c r="C23" s="4" t="s">
        <v>173</v>
      </c>
      <c r="D23" s="8">
        <f>Tabla1[[#This Row],[Porcentaje de Asistencia]]</f>
        <v>0.9</v>
      </c>
      <c r="E23" s="9"/>
      <c r="F23" s="10">
        <f t="shared" si="0"/>
        <v>2</v>
      </c>
      <c r="G23" s="11"/>
      <c r="H23" s="11"/>
      <c r="I23" s="11"/>
      <c r="J23" s="11"/>
      <c r="K23" s="12">
        <f t="shared" si="1"/>
        <v>0</v>
      </c>
      <c r="L23" s="11">
        <v>0</v>
      </c>
      <c r="M23" s="11"/>
      <c r="N23" s="2"/>
      <c r="O23" s="11">
        <f t="shared" si="2"/>
        <v>0</v>
      </c>
      <c r="P23" s="12">
        <f t="shared" si="3"/>
        <v>0</v>
      </c>
      <c r="Q23" s="11">
        <v>0</v>
      </c>
      <c r="R23" s="13">
        <f t="shared" si="4"/>
        <v>0</v>
      </c>
      <c r="S23" s="14">
        <f t="shared" si="5"/>
        <v>0</v>
      </c>
      <c r="T23" s="11">
        <v>10</v>
      </c>
      <c r="U23" s="11"/>
      <c r="V23" s="11"/>
      <c r="W23" s="14">
        <f t="shared" si="6"/>
        <v>2</v>
      </c>
      <c r="X23" s="14"/>
    </row>
    <row r="24" spans="1:24" ht="15" customHeight="1" x14ac:dyDescent="0.35">
      <c r="A24" s="3">
        <v>327129811</v>
      </c>
      <c r="B24" s="4" t="s">
        <v>159</v>
      </c>
      <c r="C24" s="4" t="s">
        <v>172</v>
      </c>
      <c r="D24" s="8">
        <f>Tabla1[[#This Row],[Porcentaje de Asistencia]]</f>
        <v>0.9</v>
      </c>
      <c r="E24" s="9"/>
      <c r="F24" s="10">
        <f t="shared" si="0"/>
        <v>3.5774137931034482</v>
      </c>
      <c r="G24" s="11"/>
      <c r="H24" s="11"/>
      <c r="I24" s="11"/>
      <c r="J24" s="11"/>
      <c r="K24" s="12">
        <f t="shared" si="1"/>
        <v>0</v>
      </c>
      <c r="L24" s="11">
        <v>17</v>
      </c>
      <c r="M24" s="11"/>
      <c r="N24" s="2"/>
      <c r="O24" s="11">
        <f t="shared" si="2"/>
        <v>17</v>
      </c>
      <c r="P24" s="12">
        <f t="shared" si="3"/>
        <v>1.1724137931034482</v>
      </c>
      <c r="Q24" s="11">
        <v>2.7</v>
      </c>
      <c r="R24" s="13">
        <f t="shared" si="4"/>
        <v>2.7</v>
      </c>
      <c r="S24" s="14">
        <f t="shared" si="5"/>
        <v>0.40500000000000003</v>
      </c>
      <c r="T24" s="11">
        <v>10</v>
      </c>
      <c r="U24" s="11"/>
      <c r="V24" s="11"/>
      <c r="W24" s="14">
        <f t="shared" si="6"/>
        <v>2</v>
      </c>
      <c r="X24" s="14"/>
    </row>
    <row r="25" spans="1:24" ht="15" customHeight="1" x14ac:dyDescent="0.35">
      <c r="A25" s="3">
        <v>327291143</v>
      </c>
      <c r="B25" s="4" t="s">
        <v>160</v>
      </c>
      <c r="C25" s="4" t="s">
        <v>174</v>
      </c>
      <c r="D25" s="8">
        <f>Tabla1[[#This Row],[Porcentaje de Asistencia]]</f>
        <v>1</v>
      </c>
      <c r="E25" s="9"/>
      <c r="F25" s="10">
        <f t="shared" si="0"/>
        <v>4.117068965517241</v>
      </c>
      <c r="G25" s="11"/>
      <c r="H25" s="11"/>
      <c r="I25" s="11"/>
      <c r="J25" s="11"/>
      <c r="K25" s="12">
        <f t="shared" si="1"/>
        <v>0</v>
      </c>
      <c r="L25" s="11">
        <v>27</v>
      </c>
      <c r="M25" s="11"/>
      <c r="N25" s="2"/>
      <c r="O25" s="11">
        <f t="shared" si="2"/>
        <v>27</v>
      </c>
      <c r="P25" s="12">
        <f t="shared" si="3"/>
        <v>1.8620689655172413</v>
      </c>
      <c r="Q25" s="11">
        <v>6.1</v>
      </c>
      <c r="R25" s="13">
        <f t="shared" si="4"/>
        <v>6.1</v>
      </c>
      <c r="S25" s="14">
        <f t="shared" si="5"/>
        <v>0.91499999999999992</v>
      </c>
      <c r="T25" s="11">
        <v>6.7</v>
      </c>
      <c r="U25" s="11"/>
      <c r="V25" s="11"/>
      <c r="W25" s="14">
        <f t="shared" si="6"/>
        <v>1.34</v>
      </c>
      <c r="X25" s="14"/>
    </row>
    <row r="26" spans="1:24" ht="15" customHeight="1" x14ac:dyDescent="0.35">
      <c r="A26" s="3">
        <v>327237161</v>
      </c>
      <c r="B26" s="4" t="s">
        <v>161</v>
      </c>
      <c r="C26" s="4" t="s">
        <v>181</v>
      </c>
      <c r="D26" s="8">
        <f>Tabla1[[#This Row],[Porcentaje de Asistencia]]</f>
        <v>1</v>
      </c>
      <c r="E26" s="9"/>
      <c r="F26" s="10">
        <f t="shared" si="0"/>
        <v>4.5493103448275862</v>
      </c>
      <c r="G26" s="11"/>
      <c r="H26" s="11"/>
      <c r="I26" s="11"/>
      <c r="J26" s="11"/>
      <c r="K26" s="12">
        <f t="shared" si="1"/>
        <v>0</v>
      </c>
      <c r="L26" s="11">
        <v>20</v>
      </c>
      <c r="M26" s="11"/>
      <c r="N26" s="2"/>
      <c r="O26" s="11">
        <f t="shared" si="2"/>
        <v>20</v>
      </c>
      <c r="P26" s="12">
        <f t="shared" si="3"/>
        <v>1.3793103448275863</v>
      </c>
      <c r="Q26" s="11">
        <v>7.8</v>
      </c>
      <c r="R26" s="13">
        <f t="shared" si="4"/>
        <v>7.8</v>
      </c>
      <c r="S26" s="14">
        <f t="shared" si="5"/>
        <v>1.17</v>
      </c>
      <c r="T26" s="11">
        <v>10</v>
      </c>
      <c r="U26" s="11"/>
      <c r="V26" s="11"/>
      <c r="W26" s="14">
        <f t="shared" si="6"/>
        <v>2</v>
      </c>
      <c r="X26" s="14"/>
    </row>
    <row r="27" spans="1:24" x14ac:dyDescent="0.35">
      <c r="D27" s="18"/>
      <c r="E27" s="16"/>
    </row>
    <row r="28" spans="1:24" x14ac:dyDescent="0.35">
      <c r="E28" s="16"/>
    </row>
    <row r="29" spans="1:24" x14ac:dyDescent="0.35">
      <c r="E29" s="16"/>
    </row>
    <row r="30" spans="1:24" x14ac:dyDescent="0.35">
      <c r="E30" s="16"/>
    </row>
    <row r="31" spans="1:24" x14ac:dyDescent="0.35">
      <c r="E31" s="16"/>
      <c r="J31" t="s">
        <v>16</v>
      </c>
    </row>
    <row r="32" spans="1:24" x14ac:dyDescent="0.35">
      <c r="B32" s="20" t="s">
        <v>30</v>
      </c>
      <c r="C32" s="20"/>
      <c r="D32" s="21"/>
      <c r="E32" s="21">
        <v>5</v>
      </c>
      <c r="F32" s="19"/>
    </row>
    <row r="33" spans="2:23" x14ac:dyDescent="0.35">
      <c r="B33" s="20" t="s">
        <v>17</v>
      </c>
      <c r="C33" s="20"/>
      <c r="D33" s="21"/>
      <c r="E33" s="21">
        <v>3</v>
      </c>
      <c r="F33" s="19"/>
    </row>
    <row r="34" spans="2:23" x14ac:dyDescent="0.35">
      <c r="B34" s="4" t="s">
        <v>18</v>
      </c>
      <c r="C34" s="4"/>
      <c r="D34" s="3"/>
      <c r="E34" s="3">
        <f>SUM(E35:E37)</f>
        <v>0</v>
      </c>
      <c r="F34" s="3">
        <f>SUM(F35:F37)</f>
        <v>24</v>
      </c>
      <c r="G34" s="3"/>
    </row>
    <row r="35" spans="2:23" x14ac:dyDescent="0.35">
      <c r="B35" s="4" t="s">
        <v>19</v>
      </c>
      <c r="C35" s="4"/>
      <c r="D35" s="3"/>
      <c r="E35" s="3">
        <f>COUNTIF(E2:E25,"&gt;=6")</f>
        <v>0</v>
      </c>
      <c r="F35" s="3">
        <f>COUNTIF(F2:F25,"&gt;=6")</f>
        <v>0</v>
      </c>
      <c r="G35" s="3"/>
    </row>
    <row r="36" spans="2:23" x14ac:dyDescent="0.35">
      <c r="B36" s="4" t="s">
        <v>20</v>
      </c>
      <c r="C36" s="4"/>
      <c r="D36" s="3"/>
      <c r="E36" s="11">
        <f>COUNTIF(E2:E25,"&lt;=5.9")</f>
        <v>0</v>
      </c>
      <c r="F36" s="11">
        <f>COUNTIF(F2:F25,"&lt;6")</f>
        <v>24</v>
      </c>
      <c r="G36" s="11"/>
    </row>
    <row r="37" spans="2:23" x14ac:dyDescent="0.35">
      <c r="B37" s="4" t="s">
        <v>21</v>
      </c>
      <c r="C37" s="4"/>
      <c r="D37" s="3"/>
      <c r="E37" s="11">
        <f>COUNTIF(E2:E25, "NP")</f>
        <v>0</v>
      </c>
      <c r="F37" s="11">
        <f>COUNTIF(F2:F25, "NP")</f>
        <v>0</v>
      </c>
      <c r="G37" s="11"/>
      <c r="H37" s="1"/>
    </row>
    <row r="38" spans="2:23" x14ac:dyDescent="0.35">
      <c r="B38" s="4" t="s">
        <v>22</v>
      </c>
      <c r="C38" s="4"/>
      <c r="D38" s="3"/>
      <c r="E38" s="17" t="e">
        <f>AVERAGE(E2:E25)</f>
        <v>#DIV/0!</v>
      </c>
      <c r="F38" s="17">
        <f>AVERAGE(F2:F25)</f>
        <v>3.5405100574712649</v>
      </c>
      <c r="G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2:23" x14ac:dyDescent="0.35">
      <c r="B39" s="4" t="s">
        <v>23</v>
      </c>
      <c r="C39" s="4"/>
      <c r="D39" s="3"/>
      <c r="E39" s="3">
        <f>COUNTIF(E$2:E$25,10)</f>
        <v>0</v>
      </c>
      <c r="F39" s="3"/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2:23" x14ac:dyDescent="0.35">
      <c r="B40" s="4" t="s">
        <v>24</v>
      </c>
      <c r="C40" s="4"/>
      <c r="D40" s="3"/>
      <c r="E40" s="3">
        <f>COUNTIF(E$2:E$25,9)</f>
        <v>0</v>
      </c>
      <c r="F40" s="3"/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2:23" x14ac:dyDescent="0.35">
      <c r="B41" s="4" t="s">
        <v>25</v>
      </c>
      <c r="C41" s="4"/>
      <c r="D41" s="3"/>
      <c r="E41" s="3">
        <f>COUNTIF(E$2:E$25,8)</f>
        <v>0</v>
      </c>
      <c r="F41" s="3"/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2:23" x14ac:dyDescent="0.35">
      <c r="B42" s="4" t="s">
        <v>26</v>
      </c>
      <c r="C42" s="4"/>
      <c r="D42" s="3"/>
      <c r="E42" s="3">
        <f>COUNTIF(E$2:E$25,7)</f>
        <v>0</v>
      </c>
      <c r="F42" s="3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2:23" x14ac:dyDescent="0.35">
      <c r="B43" s="4" t="s">
        <v>27</v>
      </c>
      <c r="C43" s="4"/>
      <c r="D43" s="3"/>
      <c r="E43" s="3">
        <f>COUNTIF(E$2:E$25,6)</f>
        <v>0</v>
      </c>
      <c r="F43" s="3"/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2:23" x14ac:dyDescent="0.35">
      <c r="B44" s="4" t="s">
        <v>28</v>
      </c>
      <c r="C44" s="4"/>
      <c r="D44" s="3"/>
      <c r="E44" s="3">
        <f>COUNTIF(E$2:E$25,5)</f>
        <v>0</v>
      </c>
      <c r="F44" s="3"/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2:23" x14ac:dyDescent="0.35">
      <c r="B45" s="4" t="s">
        <v>29</v>
      </c>
      <c r="C45" s="4"/>
      <c r="D45" s="3"/>
      <c r="E45" s="3">
        <f>COUNTIF(E$2:E$25,"NP")</f>
        <v>0</v>
      </c>
      <c r="F45" s="3"/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2:23" x14ac:dyDescent="0.35">
      <c r="B46" s="4"/>
      <c r="C46" s="4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2:23" x14ac:dyDescent="0.35">
      <c r="B47" s="4"/>
      <c r="C47" s="4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</sheetData>
  <autoFilter ref="A1:X26" xr:uid="{2D94412C-462B-45A3-87AD-34BA6A5C5B8A}"/>
  <conditionalFormatting sqref="F2:F26">
    <cfRule type="containsText" dxfId="3" priority="6" operator="containsText" text="NP">
      <formula>NOT(ISERROR(SEARCH("NP",F2)))</formula>
    </cfRule>
    <cfRule type="cellIs" dxfId="2" priority="10" operator="lessThanOrEqual">
      <formula>5.99</formula>
    </cfRule>
  </conditionalFormatting>
  <conditionalFormatting sqref="G2:J26">
    <cfRule type="containsText" dxfId="1" priority="3" operator="containsText" text="np">
      <formula>NOT(ISERROR(SEARCH("np",G2)))</formula>
    </cfRule>
    <cfRule type="cellIs" dxfId="0" priority="4" operator="lessThanOrEqual">
      <formula>5.9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AA56-82DB-4C0B-9E50-A99B3B9393AC}">
  <dimension ref="A1:DW51"/>
  <sheetViews>
    <sheetView zoomScale="92" zoomScaleNormal="145" workbookViewId="0">
      <selection activeCell="M27" sqref="M27"/>
    </sheetView>
  </sheetViews>
  <sheetFormatPr baseColWidth="10" defaultColWidth="10.7265625" defaultRowHeight="14.5" x14ac:dyDescent="0.35"/>
  <cols>
    <col min="1" max="1" width="5.81640625" customWidth="1"/>
    <col min="2" max="2" width="36.08984375" customWidth="1"/>
    <col min="3" max="3" width="10.90625" customWidth="1"/>
    <col min="4" max="4" width="13.7265625" style="27" customWidth="1"/>
    <col min="5" max="9" width="10.7265625" customWidth="1"/>
    <col min="107" max="108" width="11.54296875" customWidth="1"/>
    <col min="109" max="109" width="17.453125" customWidth="1"/>
  </cols>
  <sheetData>
    <row r="1" spans="1:127" ht="30" x14ac:dyDescent="0.35">
      <c r="A1" s="22" t="s">
        <v>31</v>
      </c>
      <c r="B1" s="22" t="s">
        <v>32</v>
      </c>
      <c r="C1" s="23" t="s">
        <v>33</v>
      </c>
      <c r="D1" s="24" t="s">
        <v>194</v>
      </c>
      <c r="E1" s="24" t="s">
        <v>186</v>
      </c>
      <c r="F1" s="24" t="s">
        <v>187</v>
      </c>
      <c r="G1" s="24" t="s">
        <v>188</v>
      </c>
      <c r="H1" s="24" t="s">
        <v>189</v>
      </c>
      <c r="I1" s="24" t="s">
        <v>190</v>
      </c>
      <c r="J1" s="24" t="s">
        <v>192</v>
      </c>
      <c r="K1" s="24" t="s">
        <v>193</v>
      </c>
      <c r="L1" s="24" t="s">
        <v>195</v>
      </c>
      <c r="M1" s="24" t="s">
        <v>196</v>
      </c>
      <c r="N1" s="24" t="s">
        <v>34</v>
      </c>
      <c r="O1" s="24" t="s">
        <v>35</v>
      </c>
      <c r="P1" s="24" t="s">
        <v>36</v>
      </c>
      <c r="Q1" s="24" t="s">
        <v>37</v>
      </c>
      <c r="R1" s="24" t="s">
        <v>38</v>
      </c>
      <c r="S1" s="24" t="s">
        <v>39</v>
      </c>
      <c r="T1" s="24" t="s">
        <v>40</v>
      </c>
      <c r="U1" s="24" t="s">
        <v>41</v>
      </c>
      <c r="V1" s="24" t="s">
        <v>42</v>
      </c>
      <c r="W1" s="24" t="s">
        <v>43</v>
      </c>
      <c r="X1" s="24" t="s">
        <v>44</v>
      </c>
      <c r="Y1" s="24" t="s">
        <v>45</v>
      </c>
      <c r="Z1" s="24" t="s">
        <v>46</v>
      </c>
      <c r="AA1" s="24" t="s">
        <v>47</v>
      </c>
      <c r="AB1" s="24" t="s">
        <v>48</v>
      </c>
      <c r="AC1" s="24" t="s">
        <v>49</v>
      </c>
      <c r="AD1" s="24" t="s">
        <v>50</v>
      </c>
      <c r="AE1" s="24" t="s">
        <v>51</v>
      </c>
      <c r="AF1" s="24" t="s">
        <v>52</v>
      </c>
      <c r="AG1" s="24" t="s">
        <v>53</v>
      </c>
      <c r="AH1" s="24" t="s">
        <v>54</v>
      </c>
      <c r="AI1" s="24" t="s">
        <v>55</v>
      </c>
      <c r="AJ1" s="24" t="s">
        <v>56</v>
      </c>
      <c r="AK1" s="24" t="s">
        <v>57</v>
      </c>
      <c r="AL1" s="24" t="s">
        <v>58</v>
      </c>
      <c r="AM1" s="24" t="s">
        <v>59</v>
      </c>
      <c r="AN1" s="24" t="s">
        <v>60</v>
      </c>
      <c r="AO1" s="24" t="s">
        <v>61</v>
      </c>
      <c r="AP1" s="24" t="s">
        <v>62</v>
      </c>
      <c r="AQ1" s="24" t="s">
        <v>63</v>
      </c>
      <c r="AR1" s="24" t="s">
        <v>64</v>
      </c>
      <c r="AS1" s="24" t="s">
        <v>65</v>
      </c>
      <c r="AT1" s="24" t="s">
        <v>66</v>
      </c>
      <c r="AU1" s="24" t="s">
        <v>67</v>
      </c>
      <c r="AV1" s="24" t="s">
        <v>68</v>
      </c>
      <c r="AW1" s="24" t="s">
        <v>69</v>
      </c>
      <c r="AX1" s="24" t="s">
        <v>70</v>
      </c>
      <c r="AY1" s="24" t="s">
        <v>71</v>
      </c>
      <c r="AZ1" s="24" t="s">
        <v>72</v>
      </c>
      <c r="BA1" s="24" t="s">
        <v>73</v>
      </c>
      <c r="BB1" s="24" t="s">
        <v>74</v>
      </c>
      <c r="BC1" s="24" t="s">
        <v>75</v>
      </c>
      <c r="BD1" s="24" t="s">
        <v>76</v>
      </c>
      <c r="BE1" s="24" t="s">
        <v>77</v>
      </c>
      <c r="BF1" s="24" t="s">
        <v>78</v>
      </c>
      <c r="BG1" s="24" t="s">
        <v>79</v>
      </c>
      <c r="BH1" s="24" t="s">
        <v>80</v>
      </c>
      <c r="BI1" s="24" t="s">
        <v>81</v>
      </c>
      <c r="BJ1" s="24" t="s">
        <v>82</v>
      </c>
      <c r="BK1" s="24" t="s">
        <v>83</v>
      </c>
      <c r="BL1" s="24" t="s">
        <v>84</v>
      </c>
      <c r="BM1" s="24" t="s">
        <v>85</v>
      </c>
      <c r="BN1" s="24" t="s">
        <v>86</v>
      </c>
      <c r="BO1" s="24" t="s">
        <v>87</v>
      </c>
      <c r="BP1" s="24" t="s">
        <v>88</v>
      </c>
      <c r="BQ1" s="24" t="s">
        <v>89</v>
      </c>
      <c r="BR1" s="24" t="s">
        <v>90</v>
      </c>
      <c r="BS1" s="24" t="s">
        <v>91</v>
      </c>
      <c r="BT1" s="24" t="s">
        <v>92</v>
      </c>
      <c r="BU1" s="24" t="s">
        <v>93</v>
      </c>
      <c r="BV1" s="24" t="s">
        <v>94</v>
      </c>
      <c r="BW1" s="24" t="s">
        <v>95</v>
      </c>
      <c r="BX1" s="24" t="s">
        <v>96</v>
      </c>
      <c r="BY1" s="24" t="s">
        <v>97</v>
      </c>
      <c r="BZ1" s="24" t="s">
        <v>98</v>
      </c>
      <c r="CA1" s="24" t="s">
        <v>99</v>
      </c>
      <c r="CB1" s="24" t="s">
        <v>100</v>
      </c>
      <c r="CC1" s="24" t="s">
        <v>101</v>
      </c>
      <c r="CD1" s="24" t="s">
        <v>102</v>
      </c>
      <c r="CE1" s="24" t="s">
        <v>103</v>
      </c>
      <c r="CF1" s="24" t="s">
        <v>104</v>
      </c>
      <c r="CG1" s="24" t="s">
        <v>105</v>
      </c>
      <c r="CH1" s="24" t="s">
        <v>106</v>
      </c>
      <c r="CI1" s="24" t="s">
        <v>107</v>
      </c>
      <c r="CJ1" s="24" t="s">
        <v>108</v>
      </c>
      <c r="CK1" s="24" t="s">
        <v>109</v>
      </c>
      <c r="CL1" s="24" t="s">
        <v>110</v>
      </c>
      <c r="CM1" s="24" t="s">
        <v>111</v>
      </c>
      <c r="CN1" s="24" t="s">
        <v>112</v>
      </c>
      <c r="CO1" s="24" t="s">
        <v>113</v>
      </c>
      <c r="CP1" s="24" t="s">
        <v>114</v>
      </c>
      <c r="CQ1" s="24" t="s">
        <v>115</v>
      </c>
      <c r="CR1" s="24" t="s">
        <v>116</v>
      </c>
      <c r="CS1" s="24" t="s">
        <v>117</v>
      </c>
      <c r="CT1" s="24" t="s">
        <v>118</v>
      </c>
      <c r="CU1" s="24" t="s">
        <v>119</v>
      </c>
      <c r="CV1" s="24" t="s">
        <v>120</v>
      </c>
      <c r="CW1" s="24" t="s">
        <v>121</v>
      </c>
      <c r="CX1" s="24" t="s">
        <v>122</v>
      </c>
      <c r="CY1" s="24" t="s">
        <v>123</v>
      </c>
      <c r="CZ1" s="24" t="s">
        <v>124</v>
      </c>
      <c r="DA1" s="24" t="s">
        <v>125</v>
      </c>
      <c r="DB1" s="24" t="s">
        <v>126</v>
      </c>
      <c r="DC1" s="24" t="s">
        <v>127</v>
      </c>
      <c r="DD1" s="24" t="s">
        <v>128</v>
      </c>
      <c r="DE1" s="23" t="s">
        <v>129</v>
      </c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 x14ac:dyDescent="0.35">
      <c r="A2" s="1">
        <v>1</v>
      </c>
      <c r="B2" s="1" t="s">
        <v>137</v>
      </c>
      <c r="C2" s="25">
        <f>SUMIF(Tabla1[[#This Row],[martes, 01, septiembre]:[Columna11]], 1,Tabla1[[#This Row],[martes, 01, septiembre]:[Columna11]])/COUNTA(Tabla1[[#This Row],[martes, 01, septiembre]:[Columna11]])</f>
        <v>1</v>
      </c>
      <c r="D2" s="26">
        <v>1</v>
      </c>
      <c r="E2" s="26">
        <v>1</v>
      </c>
      <c r="F2" s="26">
        <v>1</v>
      </c>
      <c r="G2" s="26">
        <v>1</v>
      </c>
      <c r="H2" s="26">
        <v>1</v>
      </c>
      <c r="I2" s="26">
        <v>1</v>
      </c>
      <c r="J2" s="26">
        <v>1</v>
      </c>
      <c r="K2" s="26">
        <v>1</v>
      </c>
      <c r="L2" s="26">
        <v>1</v>
      </c>
      <c r="M2" s="26">
        <v>1</v>
      </c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">
        <f>SUMIF(Tabla1[[#This Row],[martes, 01, septiembre]:[Columna11]], 1,Tabla1[[#This Row],[martes, 01, septiembre]:[Columna11]])</f>
        <v>10</v>
      </c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7" x14ac:dyDescent="0.35">
      <c r="A3" s="1">
        <v>2</v>
      </c>
      <c r="B3" s="1" t="s">
        <v>138</v>
      </c>
      <c r="C3" s="25">
        <f>SUMIF(Tabla1[[#This Row],[martes, 01, septiembre]:[Columna11]], 1,Tabla1[[#This Row],[martes, 01, septiembre]:[Columna11]])/COUNTA(Tabla1[[#This Row],[martes, 01, septiembre]:[Columna11]])</f>
        <v>1</v>
      </c>
      <c r="D3" s="26">
        <v>1</v>
      </c>
      <c r="E3" s="26">
        <v>1</v>
      </c>
      <c r="F3" s="26">
        <v>1</v>
      </c>
      <c r="G3" s="26">
        <v>1</v>
      </c>
      <c r="H3" s="26">
        <v>1</v>
      </c>
      <c r="I3" s="26">
        <v>1</v>
      </c>
      <c r="J3" s="26">
        <v>1</v>
      </c>
      <c r="K3" s="26">
        <v>1</v>
      </c>
      <c r="L3" s="26">
        <v>1</v>
      </c>
      <c r="M3" s="26">
        <v>1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">
        <f>SUMIF(Tabla1[[#This Row],[martes, 01, septiembre]:[Columna11]], 1,Tabla1[[#This Row],[martes, 01, septiembre]:[Columna11]])</f>
        <v>10</v>
      </c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7" x14ac:dyDescent="0.35">
      <c r="A4" s="1">
        <v>3</v>
      </c>
      <c r="B4" s="1" t="s">
        <v>139</v>
      </c>
      <c r="C4" s="25">
        <f>SUMIF(Tabla1[[#This Row],[martes, 01, septiembre]:[Columna11]], 1,Tabla1[[#This Row],[martes, 01, septiembre]:[Columna11]])/COUNTA(Tabla1[[#This Row],[martes, 01, septiembre]:[Columna11]])</f>
        <v>1</v>
      </c>
      <c r="D4" s="26">
        <v>1</v>
      </c>
      <c r="E4" s="26">
        <v>1</v>
      </c>
      <c r="F4" s="26">
        <v>1</v>
      </c>
      <c r="G4" s="26">
        <v>1</v>
      </c>
      <c r="H4" s="26">
        <v>1</v>
      </c>
      <c r="I4" s="26">
        <v>1</v>
      </c>
      <c r="J4" s="26">
        <v>1</v>
      </c>
      <c r="K4" s="26">
        <v>1</v>
      </c>
      <c r="L4" s="26">
        <v>1</v>
      </c>
      <c r="M4" s="26">
        <v>1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">
        <f>SUMIF(Tabla1[[#This Row],[martes, 01, septiembre]:[Columna11]], 1,Tabla1[[#This Row],[martes, 01, septiembre]:[Columna11]])</f>
        <v>10</v>
      </c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</row>
    <row r="5" spans="1:127" x14ac:dyDescent="0.35">
      <c r="A5" s="1">
        <v>4</v>
      </c>
      <c r="B5" s="1" t="s">
        <v>140</v>
      </c>
      <c r="C5" s="25">
        <f>SUMIF(Tabla1[[#This Row],[martes, 01, septiembre]:[Columna11]], 1,Tabla1[[#This Row],[martes, 01, septiembre]:[Columna11]])/COUNTA(Tabla1[[#This Row],[martes, 01, septiembre]:[Columna11]])</f>
        <v>1</v>
      </c>
      <c r="D5" s="26">
        <v>1</v>
      </c>
      <c r="E5" s="26">
        <v>1</v>
      </c>
      <c r="F5" s="26">
        <v>1</v>
      </c>
      <c r="G5" s="26">
        <v>1</v>
      </c>
      <c r="H5" s="26">
        <v>1</v>
      </c>
      <c r="I5" s="26">
        <v>1</v>
      </c>
      <c r="J5" s="26">
        <v>1</v>
      </c>
      <c r="K5" s="26">
        <v>1</v>
      </c>
      <c r="L5" s="26">
        <v>1</v>
      </c>
      <c r="M5" s="26">
        <v>1</v>
      </c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">
        <f>SUMIF(Tabla1[[#This Row],[martes, 01, septiembre]:[Columna11]], 1,Tabla1[[#This Row],[martes, 01, septiembre]:[Columna11]])</f>
        <v>10</v>
      </c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7" x14ac:dyDescent="0.35">
      <c r="A6" s="1">
        <v>5</v>
      </c>
      <c r="B6" s="1" t="s">
        <v>141</v>
      </c>
      <c r="C6" s="25">
        <f>SUMIF(Tabla1[[#This Row],[martes, 01, septiembre]:[Columna11]], 1,Tabla1[[#This Row],[martes, 01, septiembre]:[Columna11]])/COUNTA(Tabla1[[#This Row],[martes, 01, septiembre]:[Columna11]])</f>
        <v>0.9</v>
      </c>
      <c r="D6" s="26">
        <v>1</v>
      </c>
      <c r="E6" s="26">
        <v>1</v>
      </c>
      <c r="F6" s="26">
        <v>1</v>
      </c>
      <c r="G6" s="26">
        <v>1</v>
      </c>
      <c r="H6" s="26">
        <v>1</v>
      </c>
      <c r="I6" s="26">
        <v>2</v>
      </c>
      <c r="J6" s="26">
        <v>1</v>
      </c>
      <c r="K6" s="26">
        <v>1</v>
      </c>
      <c r="L6" s="26">
        <v>1</v>
      </c>
      <c r="M6" s="26">
        <v>1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">
        <f>SUMIF(Tabla1[[#This Row],[martes, 01, septiembre]:[Columna11]], 1,Tabla1[[#This Row],[martes, 01, septiembre]:[Columna11]])</f>
        <v>9</v>
      </c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</row>
    <row r="7" spans="1:127" x14ac:dyDescent="0.35">
      <c r="A7" s="1">
        <v>6</v>
      </c>
      <c r="B7" s="1" t="s">
        <v>142</v>
      </c>
      <c r="C7" s="25">
        <f>SUMIF(Tabla1[[#This Row],[martes, 01, septiembre]:[Columna11]], 1,Tabla1[[#This Row],[martes, 01, septiembre]:[Columna11]])/COUNTA(Tabla1[[#This Row],[martes, 01, septiembre]:[Columna11]])</f>
        <v>0.8</v>
      </c>
      <c r="D7" s="26">
        <v>1</v>
      </c>
      <c r="E7" s="26">
        <v>1</v>
      </c>
      <c r="F7" s="26">
        <v>1</v>
      </c>
      <c r="G7" s="26">
        <v>1</v>
      </c>
      <c r="H7" s="26">
        <v>1</v>
      </c>
      <c r="I7" s="26">
        <v>1</v>
      </c>
      <c r="J7" s="26">
        <v>2</v>
      </c>
      <c r="K7" s="26">
        <v>1</v>
      </c>
      <c r="L7" s="26">
        <v>1</v>
      </c>
      <c r="M7" s="26">
        <v>2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">
        <f>SUMIF(Tabla1[[#This Row],[martes, 01, septiembre]:[Columna11]], 1,Tabla1[[#This Row],[martes, 01, septiembre]:[Columna11]])</f>
        <v>8</v>
      </c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</row>
    <row r="8" spans="1:127" x14ac:dyDescent="0.35">
      <c r="A8" s="1">
        <v>7</v>
      </c>
      <c r="B8" s="1" t="s">
        <v>143</v>
      </c>
      <c r="C8" s="25">
        <f>SUMIF(Tabla1[[#This Row],[martes, 01, septiembre]:[Columna11]], 1,Tabla1[[#This Row],[martes, 01, septiembre]:[Columna11]])/COUNTA(Tabla1[[#This Row],[martes, 01, septiembre]:[Columna11]])</f>
        <v>0.5</v>
      </c>
      <c r="D8" s="26">
        <v>1</v>
      </c>
      <c r="E8" s="26">
        <v>2</v>
      </c>
      <c r="F8" s="26">
        <v>1</v>
      </c>
      <c r="G8" s="26">
        <v>1</v>
      </c>
      <c r="H8" s="26">
        <v>2</v>
      </c>
      <c r="I8" s="26">
        <v>2</v>
      </c>
      <c r="J8" s="26">
        <v>2</v>
      </c>
      <c r="K8" s="26">
        <v>1</v>
      </c>
      <c r="L8" s="26">
        <v>2</v>
      </c>
      <c r="M8" s="26">
        <v>1</v>
      </c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">
        <f>SUMIF(Tabla1[[#This Row],[martes, 01, septiembre]:[Columna11]], 1,Tabla1[[#This Row],[martes, 01, septiembre]:[Columna11]])</f>
        <v>5</v>
      </c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</row>
    <row r="9" spans="1:127" x14ac:dyDescent="0.35">
      <c r="A9" s="1">
        <v>8</v>
      </c>
      <c r="B9" s="1" t="s">
        <v>144</v>
      </c>
      <c r="C9" s="25">
        <f>SUMIF(Tabla1[[#This Row],[martes, 01, septiembre]:[Columna11]], 1,Tabla1[[#This Row],[martes, 01, septiembre]:[Columna11]])/COUNTA(Tabla1[[#This Row],[martes, 01, septiembre]:[Columna11]])</f>
        <v>1</v>
      </c>
      <c r="D9" s="26">
        <v>1</v>
      </c>
      <c r="E9" s="26">
        <v>1</v>
      </c>
      <c r="F9" s="26">
        <v>1</v>
      </c>
      <c r="G9" s="26">
        <v>1</v>
      </c>
      <c r="H9" s="26">
        <v>1</v>
      </c>
      <c r="I9" s="26">
        <v>1</v>
      </c>
      <c r="J9" s="26">
        <v>1</v>
      </c>
      <c r="K9" s="26">
        <v>1</v>
      </c>
      <c r="L9" s="26">
        <v>1</v>
      </c>
      <c r="M9" s="26">
        <v>1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">
        <f>SUMIF(Tabla1[[#This Row],[martes, 01, septiembre]:[Columna11]], 1,Tabla1[[#This Row],[martes, 01, septiembre]:[Columna11]])</f>
        <v>10</v>
      </c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</row>
    <row r="10" spans="1:127" x14ac:dyDescent="0.35">
      <c r="A10" s="1">
        <v>9</v>
      </c>
      <c r="B10" s="1" t="s">
        <v>145</v>
      </c>
      <c r="C10" s="25">
        <f>SUMIF(Tabla1[[#This Row],[martes, 01, septiembre]:[Columna11]], 1,Tabla1[[#This Row],[martes, 01, septiembre]:[Columna11]])/COUNTA(Tabla1[[#This Row],[martes, 01, septiembre]:[Columna11]])</f>
        <v>0.9</v>
      </c>
      <c r="D10" s="26">
        <v>1</v>
      </c>
      <c r="E10" s="26">
        <v>1</v>
      </c>
      <c r="F10" s="26">
        <v>1</v>
      </c>
      <c r="G10" s="26">
        <v>1</v>
      </c>
      <c r="H10" s="26">
        <v>1</v>
      </c>
      <c r="I10" s="26">
        <v>2</v>
      </c>
      <c r="J10" s="26">
        <v>1</v>
      </c>
      <c r="K10" s="26">
        <v>1</v>
      </c>
      <c r="L10" s="26">
        <v>1</v>
      </c>
      <c r="M10" s="26">
        <v>1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">
        <f>SUMIF(Tabla1[[#This Row],[martes, 01, septiembre]:[Columna11]], 1,Tabla1[[#This Row],[martes, 01, septiembre]:[Columna11]])</f>
        <v>9</v>
      </c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 spans="1:127" x14ac:dyDescent="0.35">
      <c r="A11" s="1">
        <v>10</v>
      </c>
      <c r="B11" s="1" t="s">
        <v>146</v>
      </c>
      <c r="C11" s="25">
        <f>SUMIF(Tabla1[[#This Row],[martes, 01, septiembre]:[Columna11]], 1,Tabla1[[#This Row],[martes, 01, septiembre]:[Columna11]])/COUNTA(Tabla1[[#This Row],[martes, 01, septiembre]:[Columna11]])</f>
        <v>0.9</v>
      </c>
      <c r="D11" s="26">
        <v>1</v>
      </c>
      <c r="E11" s="26">
        <v>1</v>
      </c>
      <c r="F11" s="26">
        <v>1</v>
      </c>
      <c r="G11" s="26">
        <v>1</v>
      </c>
      <c r="H11" s="26">
        <v>1</v>
      </c>
      <c r="I11" s="26">
        <v>1</v>
      </c>
      <c r="J11" s="26">
        <v>2</v>
      </c>
      <c r="K11" s="26">
        <v>1</v>
      </c>
      <c r="L11" s="26">
        <v>1</v>
      </c>
      <c r="M11" s="26">
        <v>1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">
        <f>SUMIF(Tabla1[[#This Row],[martes, 01, septiembre]:[Columna11]], 1,Tabla1[[#This Row],[martes, 01, septiembre]:[Columna11]])</f>
        <v>9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</row>
    <row r="12" spans="1:127" x14ac:dyDescent="0.35">
      <c r="A12" s="1">
        <v>11</v>
      </c>
      <c r="B12" s="1" t="s">
        <v>147</v>
      </c>
      <c r="C12" s="25">
        <f>SUMIF(Tabla1[[#This Row],[martes, 01, septiembre]:[Columna11]], 1,Tabla1[[#This Row],[martes, 01, septiembre]:[Columna11]])/COUNTA(Tabla1[[#This Row],[martes, 01, septiembre]:[Columna11]])</f>
        <v>1</v>
      </c>
      <c r="D12" s="26">
        <v>1</v>
      </c>
      <c r="E12" s="26">
        <v>1</v>
      </c>
      <c r="F12" s="26">
        <v>1</v>
      </c>
      <c r="G12" s="26">
        <v>1</v>
      </c>
      <c r="H12" s="26">
        <v>1</v>
      </c>
      <c r="I12" s="26">
        <v>1</v>
      </c>
      <c r="J12" s="26">
        <v>1</v>
      </c>
      <c r="K12" s="26">
        <v>1</v>
      </c>
      <c r="L12" s="26">
        <v>1</v>
      </c>
      <c r="M12" s="26">
        <v>1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">
        <f>SUMIF(Tabla1[[#This Row],[martes, 01, septiembre]:[Columna11]], 1,Tabla1[[#This Row],[martes, 01, septiembre]:[Columna11]])</f>
        <v>10</v>
      </c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</row>
    <row r="13" spans="1:127" x14ac:dyDescent="0.35">
      <c r="A13" s="1">
        <v>12</v>
      </c>
      <c r="B13" s="1" t="s">
        <v>148</v>
      </c>
      <c r="C13" s="25">
        <f>SUMIF(Tabla1[[#This Row],[martes, 01, septiembre]:[Columna11]], 1,Tabla1[[#This Row],[martes, 01, septiembre]:[Columna11]])/COUNTA(Tabla1[[#This Row],[martes, 01, septiembre]:[Columna11]])</f>
        <v>1</v>
      </c>
      <c r="D13" s="26">
        <v>1</v>
      </c>
      <c r="E13" s="26">
        <v>1</v>
      </c>
      <c r="F13" s="26">
        <v>1</v>
      </c>
      <c r="G13" s="26">
        <v>1</v>
      </c>
      <c r="H13" s="26">
        <v>1</v>
      </c>
      <c r="I13" s="26">
        <v>1</v>
      </c>
      <c r="J13" s="26">
        <v>1</v>
      </c>
      <c r="K13" s="26">
        <v>1</v>
      </c>
      <c r="L13" s="26">
        <v>1</v>
      </c>
      <c r="M13" s="26">
        <v>1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">
        <f>SUMIF(Tabla1[[#This Row],[martes, 01, septiembre]:[Columna11]], 1,Tabla1[[#This Row],[martes, 01, septiembre]:[Columna11]])</f>
        <v>10</v>
      </c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</row>
    <row r="14" spans="1:127" x14ac:dyDescent="0.35">
      <c r="A14" s="1">
        <v>13</v>
      </c>
      <c r="B14" s="1" t="s">
        <v>149</v>
      </c>
      <c r="C14" s="25">
        <f>SUMIF(Tabla1[[#This Row],[martes, 01, septiembre]:[Columna11]], 1,Tabla1[[#This Row],[martes, 01, septiembre]:[Columna11]])/COUNTA(Tabla1[[#This Row],[martes, 01, septiembre]:[Columna11]])</f>
        <v>0.8</v>
      </c>
      <c r="D14" s="26">
        <v>1</v>
      </c>
      <c r="E14" s="26">
        <v>1</v>
      </c>
      <c r="F14" s="26">
        <v>1</v>
      </c>
      <c r="G14" s="26">
        <v>1</v>
      </c>
      <c r="H14" s="26">
        <v>1</v>
      </c>
      <c r="I14" s="26">
        <v>2</v>
      </c>
      <c r="J14" s="26">
        <v>2</v>
      </c>
      <c r="K14" s="26">
        <v>1</v>
      </c>
      <c r="L14" s="26">
        <v>1</v>
      </c>
      <c r="M14" s="26">
        <v>1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">
        <f>SUMIF(Tabla1[[#This Row],[martes, 01, septiembre]:[Columna11]], 1,Tabla1[[#This Row],[martes, 01, septiembre]:[Columna11]])</f>
        <v>8</v>
      </c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</row>
    <row r="15" spans="1:127" x14ac:dyDescent="0.35">
      <c r="A15" s="1">
        <v>14</v>
      </c>
      <c r="B15" s="1" t="s">
        <v>150</v>
      </c>
      <c r="C15" s="25">
        <f>SUMIF(Tabla1[[#This Row],[martes, 01, septiembre]:[Columna11]], 1,Tabla1[[#This Row],[martes, 01, septiembre]:[Columna11]])/COUNTA(Tabla1[[#This Row],[martes, 01, septiembre]:[Columna11]])</f>
        <v>1</v>
      </c>
      <c r="D15" s="26">
        <v>1</v>
      </c>
      <c r="E15" s="26">
        <v>1</v>
      </c>
      <c r="F15" s="26">
        <v>1</v>
      </c>
      <c r="G15" s="26">
        <v>1</v>
      </c>
      <c r="H15" s="26">
        <v>1</v>
      </c>
      <c r="I15" s="26">
        <v>1</v>
      </c>
      <c r="J15" s="26">
        <v>1</v>
      </c>
      <c r="K15" s="26">
        <v>1</v>
      </c>
      <c r="L15" s="26">
        <v>1</v>
      </c>
      <c r="M15" s="26">
        <v>1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">
        <f>SUMIF(Tabla1[[#This Row],[martes, 01, septiembre]:[Columna11]], 1,Tabla1[[#This Row],[martes, 01, septiembre]:[Columna11]])</f>
        <v>10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</row>
    <row r="16" spans="1:127" x14ac:dyDescent="0.35">
      <c r="A16" s="1">
        <v>15</v>
      </c>
      <c r="B16" s="1" t="s">
        <v>151</v>
      </c>
      <c r="C16" s="25">
        <f>SUMIF(Tabla1[[#This Row],[martes, 01, septiembre]:[Columna11]], 1,Tabla1[[#This Row],[martes, 01, septiembre]:[Columna11]])/COUNTA(Tabla1[[#This Row],[martes, 01, septiembre]:[Columna11]])</f>
        <v>0.9</v>
      </c>
      <c r="D16" s="26">
        <v>1</v>
      </c>
      <c r="E16" s="26">
        <v>1</v>
      </c>
      <c r="F16" s="26">
        <v>1</v>
      </c>
      <c r="G16" s="26">
        <v>1</v>
      </c>
      <c r="H16" s="26">
        <v>1</v>
      </c>
      <c r="I16" s="26">
        <v>1</v>
      </c>
      <c r="J16" s="26">
        <v>2</v>
      </c>
      <c r="K16" s="26">
        <v>1</v>
      </c>
      <c r="L16" s="26">
        <v>1</v>
      </c>
      <c r="M16" s="26">
        <v>1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">
        <f>SUMIF(Tabla1[[#This Row],[martes, 01, septiembre]:[Columna11]], 1,Tabla1[[#This Row],[martes, 01, septiembre]:[Columna11]])</f>
        <v>9</v>
      </c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</row>
    <row r="17" spans="1:127" x14ac:dyDescent="0.35">
      <c r="A17" s="1">
        <v>16</v>
      </c>
      <c r="B17" s="1" t="s">
        <v>152</v>
      </c>
      <c r="C17" s="25">
        <f>SUMIF(Tabla1[[#This Row],[martes, 01, septiembre]:[Columna11]], 1,Tabla1[[#This Row],[martes, 01, septiembre]:[Columna11]])/COUNTA(Tabla1[[#This Row],[martes, 01, septiembre]:[Columna11]])</f>
        <v>1</v>
      </c>
      <c r="D17" s="26">
        <v>1</v>
      </c>
      <c r="E17" s="26">
        <v>1</v>
      </c>
      <c r="F17" s="26">
        <v>1</v>
      </c>
      <c r="G17" s="26">
        <v>1</v>
      </c>
      <c r="H17" s="26">
        <v>1</v>
      </c>
      <c r="I17" s="26">
        <v>1</v>
      </c>
      <c r="J17" s="26">
        <v>1</v>
      </c>
      <c r="K17" s="26">
        <v>1</v>
      </c>
      <c r="L17" s="26">
        <v>1</v>
      </c>
      <c r="M17" s="26">
        <v>1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">
        <f>SUMIF(Tabla1[[#This Row],[martes, 01, septiembre]:[Columna11]], 1,Tabla1[[#This Row],[martes, 01, septiembre]:[Columna11]])</f>
        <v>10</v>
      </c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</row>
    <row r="18" spans="1:127" x14ac:dyDescent="0.35">
      <c r="A18" s="1">
        <v>17</v>
      </c>
      <c r="B18" s="1" t="s">
        <v>191</v>
      </c>
      <c r="C18" s="25">
        <f>SUMIF(Tabla1[[#This Row],[martes, 01, septiembre]:[Columna11]], 1,Tabla1[[#This Row],[martes, 01, septiembre]:[Columna11]])/COUNTA(Tabla1[[#This Row],[martes, 01, septiembre]:[Columna11]])</f>
        <v>0.9</v>
      </c>
      <c r="D18" s="26">
        <v>1</v>
      </c>
      <c r="E18" s="26">
        <v>1</v>
      </c>
      <c r="F18" s="26">
        <v>1</v>
      </c>
      <c r="G18" s="26">
        <v>1</v>
      </c>
      <c r="H18" s="26">
        <v>1</v>
      </c>
      <c r="I18" s="26">
        <v>1</v>
      </c>
      <c r="J18" s="26">
        <v>2</v>
      </c>
      <c r="K18" s="26">
        <v>1</v>
      </c>
      <c r="L18" s="26">
        <v>1</v>
      </c>
      <c r="M18" s="26">
        <v>1</v>
      </c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">
        <f>SUMIF(Tabla1[[#This Row],[martes, 01, septiembre]:[Columna11]], 1,Tabla1[[#This Row],[martes, 01, septiembre]:[Columna11]])</f>
        <v>9</v>
      </c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</row>
    <row r="19" spans="1:127" x14ac:dyDescent="0.35">
      <c r="A19" s="1">
        <v>18</v>
      </c>
      <c r="B19" s="1" t="s">
        <v>154</v>
      </c>
      <c r="C19" s="25">
        <f>SUMIF(Tabla1[[#This Row],[martes, 01, septiembre]:[Columna11]], 1,Tabla1[[#This Row],[martes, 01, septiembre]:[Columna11]])/COUNTA(Tabla1[[#This Row],[martes, 01, septiembre]:[Columna11]])</f>
        <v>0.9</v>
      </c>
      <c r="D19" s="26">
        <v>1</v>
      </c>
      <c r="E19" s="26">
        <v>1</v>
      </c>
      <c r="F19" s="26">
        <v>1</v>
      </c>
      <c r="G19" s="26">
        <v>1</v>
      </c>
      <c r="H19" s="26">
        <v>1</v>
      </c>
      <c r="I19" s="26">
        <v>1</v>
      </c>
      <c r="J19" s="26">
        <v>2</v>
      </c>
      <c r="K19" s="26">
        <v>1</v>
      </c>
      <c r="L19" s="26">
        <v>1</v>
      </c>
      <c r="M19" s="26">
        <v>1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">
        <f>SUMIF(Tabla1[[#This Row],[martes, 01, septiembre]:[Columna11]], 1,Tabla1[[#This Row],[martes, 01, septiembre]:[Columna11]])</f>
        <v>9</v>
      </c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</row>
    <row r="20" spans="1:127" x14ac:dyDescent="0.35">
      <c r="A20" s="1">
        <v>19</v>
      </c>
      <c r="B20" s="1" t="s">
        <v>155</v>
      </c>
      <c r="C20" s="25">
        <f>SUMIF(Tabla1[[#This Row],[martes, 01, septiembre]:[Columna11]], 1,Tabla1[[#This Row],[martes, 01, septiembre]:[Columna11]])/COUNTA(Tabla1[[#This Row],[martes, 01, septiembre]:[Columna11]])</f>
        <v>0.9</v>
      </c>
      <c r="D20" s="26">
        <v>1</v>
      </c>
      <c r="E20" s="26">
        <v>1</v>
      </c>
      <c r="F20" s="26">
        <v>1</v>
      </c>
      <c r="G20" s="26">
        <v>1</v>
      </c>
      <c r="H20" s="26">
        <v>1</v>
      </c>
      <c r="I20" s="26">
        <v>1</v>
      </c>
      <c r="J20" s="26">
        <v>2</v>
      </c>
      <c r="K20" s="26">
        <v>1</v>
      </c>
      <c r="L20" s="26">
        <v>1</v>
      </c>
      <c r="M20" s="26">
        <v>1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">
        <f>SUMIF(Tabla1[[#This Row],[martes, 01, septiembre]:[Columna11]], 1,Tabla1[[#This Row],[martes, 01, septiembre]:[Columna11]])</f>
        <v>9</v>
      </c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 spans="1:127" x14ac:dyDescent="0.35">
      <c r="A21" s="1">
        <v>20</v>
      </c>
      <c r="B21" s="1" t="s">
        <v>156</v>
      </c>
      <c r="C21" s="25">
        <f>SUMIF(Tabla1[[#This Row],[martes, 01, septiembre]:[Columna11]], 1,Tabla1[[#This Row],[martes, 01, septiembre]:[Columna11]])/COUNTA(Tabla1[[#This Row],[martes, 01, septiembre]:[Columna11]])</f>
        <v>1</v>
      </c>
      <c r="D21" s="26">
        <v>1</v>
      </c>
      <c r="E21" s="26">
        <v>1</v>
      </c>
      <c r="F21" s="26">
        <v>1</v>
      </c>
      <c r="G21" s="26">
        <v>1</v>
      </c>
      <c r="H21" s="26">
        <v>1</v>
      </c>
      <c r="I21" s="26">
        <v>1</v>
      </c>
      <c r="J21" s="26">
        <v>1</v>
      </c>
      <c r="K21" s="26">
        <v>1</v>
      </c>
      <c r="L21" s="26">
        <v>1</v>
      </c>
      <c r="M21" s="26">
        <v>1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">
        <f>SUMIF(Tabla1[[#This Row],[martes, 01, septiembre]:[Columna11]], 1,Tabla1[[#This Row],[martes, 01, septiembre]:[Columna11]])</f>
        <v>10</v>
      </c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</row>
    <row r="22" spans="1:127" x14ac:dyDescent="0.35">
      <c r="A22" s="1">
        <v>21</v>
      </c>
      <c r="B22" s="1" t="s">
        <v>157</v>
      </c>
      <c r="C22" s="25">
        <f>SUMIF(Tabla1[[#This Row],[martes, 01, septiembre]:[Columna11]], 1,Tabla1[[#This Row],[martes, 01, septiembre]:[Columna11]])/COUNTA(Tabla1[[#This Row],[martes, 01, septiembre]:[Columna11]])</f>
        <v>1</v>
      </c>
      <c r="D22" s="26">
        <v>1</v>
      </c>
      <c r="E22" s="26">
        <v>1</v>
      </c>
      <c r="F22" s="26">
        <v>1</v>
      </c>
      <c r="G22" s="26">
        <v>1</v>
      </c>
      <c r="H22" s="26">
        <v>1</v>
      </c>
      <c r="I22" s="26">
        <v>1</v>
      </c>
      <c r="J22" s="26">
        <v>1</v>
      </c>
      <c r="K22" s="26">
        <v>1</v>
      </c>
      <c r="L22" s="26">
        <v>1</v>
      </c>
      <c r="M22" s="26">
        <v>1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">
        <f>SUMIF(Tabla1[[#This Row],[martes, 01, septiembre]:[Columna11]], 1,Tabla1[[#This Row],[martes, 01, septiembre]:[Columna11]])</f>
        <v>10</v>
      </c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</row>
    <row r="23" spans="1:127" x14ac:dyDescent="0.35">
      <c r="A23" s="1">
        <v>22</v>
      </c>
      <c r="B23" s="1" t="s">
        <v>158</v>
      </c>
      <c r="C23" s="25">
        <f>SUMIF(Tabla1[[#This Row],[martes, 01, septiembre]:[Columna11]], 1,Tabla1[[#This Row],[martes, 01, septiembre]:[Columna11]])/COUNTA(Tabla1[[#This Row],[martes, 01, septiembre]:[Columna11]])</f>
        <v>0.9</v>
      </c>
      <c r="D23" s="26">
        <v>1</v>
      </c>
      <c r="E23" s="26">
        <v>1</v>
      </c>
      <c r="F23" s="26">
        <v>1</v>
      </c>
      <c r="G23" s="26">
        <v>1</v>
      </c>
      <c r="H23" s="26">
        <v>1</v>
      </c>
      <c r="I23" s="26">
        <v>2</v>
      </c>
      <c r="J23" s="26">
        <v>1</v>
      </c>
      <c r="K23" s="26">
        <v>1</v>
      </c>
      <c r="L23" s="26">
        <v>1</v>
      </c>
      <c r="M23" s="26">
        <v>1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">
        <f>SUMIF(Tabla1[[#This Row],[martes, 01, septiembre]:[Columna11]], 1,Tabla1[[#This Row],[martes, 01, septiembre]:[Columna11]])</f>
        <v>9</v>
      </c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</row>
    <row r="24" spans="1:127" x14ac:dyDescent="0.35">
      <c r="A24" s="1">
        <v>23</v>
      </c>
      <c r="B24" s="1" t="s">
        <v>159</v>
      </c>
      <c r="C24" s="25">
        <f>SUMIF(Tabla1[[#This Row],[martes, 01, septiembre]:[Columna11]], 1,Tabla1[[#This Row],[martes, 01, septiembre]:[Columna11]])/COUNTA(Tabla1[[#This Row],[martes, 01, septiembre]:[Columna11]])</f>
        <v>0.9</v>
      </c>
      <c r="D24" s="26">
        <v>1</v>
      </c>
      <c r="E24" s="26">
        <v>1</v>
      </c>
      <c r="F24" s="26">
        <v>1</v>
      </c>
      <c r="G24" s="26">
        <v>1</v>
      </c>
      <c r="H24" s="26">
        <v>1</v>
      </c>
      <c r="I24" s="26">
        <v>2</v>
      </c>
      <c r="J24" s="26">
        <v>1</v>
      </c>
      <c r="K24" s="26">
        <v>1</v>
      </c>
      <c r="L24" s="26">
        <v>1</v>
      </c>
      <c r="M24" s="26">
        <v>1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">
        <f>SUMIF(Tabla1[[#This Row],[martes, 01, septiembre]:[Columna11]], 1,Tabla1[[#This Row],[martes, 01, septiembre]:[Columna11]])</f>
        <v>9</v>
      </c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</row>
    <row r="25" spans="1:127" x14ac:dyDescent="0.35">
      <c r="A25" s="1">
        <v>24</v>
      </c>
      <c r="B25" s="1" t="s">
        <v>160</v>
      </c>
      <c r="C25" s="25">
        <f>SUMIF(Tabla1[[#This Row],[martes, 01, septiembre]:[Columna11]], 1,Tabla1[[#This Row],[martes, 01, septiembre]:[Columna11]])/COUNTA(Tabla1[[#This Row],[martes, 01, septiembre]:[Columna11]])</f>
        <v>1</v>
      </c>
      <c r="D25" s="26">
        <v>1</v>
      </c>
      <c r="E25" s="26">
        <v>1</v>
      </c>
      <c r="F25" s="26">
        <v>1</v>
      </c>
      <c r="G25" s="26">
        <v>1</v>
      </c>
      <c r="H25" s="26">
        <v>1</v>
      </c>
      <c r="I25" s="26">
        <v>1</v>
      </c>
      <c r="J25" s="26">
        <v>1</v>
      </c>
      <c r="K25" s="26">
        <v>1</v>
      </c>
      <c r="L25" s="26">
        <v>1</v>
      </c>
      <c r="M25" s="26">
        <v>1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">
        <f>SUMIF(Tabla1[[#This Row],[martes, 01, septiembre]:[Columna11]], 1,Tabla1[[#This Row],[martes, 01, septiembre]:[Columna11]])</f>
        <v>10</v>
      </c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</row>
    <row r="26" spans="1:127" x14ac:dyDescent="0.35">
      <c r="A26" s="1">
        <v>25</v>
      </c>
      <c r="B26" s="1" t="s">
        <v>161</v>
      </c>
      <c r="C26" s="25">
        <f>SUMIF(Tabla1[[#This Row],[martes, 01, septiembre]:[Columna11]], 1,Tabla1[[#This Row],[martes, 01, septiembre]:[Columna11]])/COUNTA(Tabla1[[#This Row],[martes, 01, septiembre]:[Columna11]])</f>
        <v>1</v>
      </c>
      <c r="D26" s="26">
        <v>1</v>
      </c>
      <c r="E26" s="26">
        <v>1</v>
      </c>
      <c r="F26" s="26">
        <v>1</v>
      </c>
      <c r="G26" s="26">
        <v>1</v>
      </c>
      <c r="H26" s="26">
        <v>1</v>
      </c>
      <c r="I26" s="26">
        <v>1</v>
      </c>
      <c r="J26" s="26">
        <v>1</v>
      </c>
      <c r="K26" s="26">
        <v>1</v>
      </c>
      <c r="L26" s="26">
        <v>1</v>
      </c>
      <c r="M26" s="26">
        <v>1</v>
      </c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">
        <f>SUMIF(Tabla1[[#This Row],[martes, 01, septiembre]:[Columna11]], 1,Tabla1[[#This Row],[martes, 01, septiembre]:[Columna11]])</f>
        <v>10</v>
      </c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</row>
    <row r="27" spans="1:127" x14ac:dyDescent="0.35"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</row>
    <row r="28" spans="1:127" x14ac:dyDescent="0.35"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</row>
    <row r="29" spans="1:127" x14ac:dyDescent="0.35"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</row>
    <row r="30" spans="1:127" x14ac:dyDescent="0.35"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</row>
    <row r="31" spans="1:127" x14ac:dyDescent="0.35"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</row>
    <row r="32" spans="1:127" x14ac:dyDescent="0.35"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</row>
    <row r="33" spans="2:127" x14ac:dyDescent="0.35"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</row>
    <row r="34" spans="2:127" x14ac:dyDescent="0.35"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</row>
    <row r="35" spans="2:127" x14ac:dyDescent="0.35"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</row>
    <row r="36" spans="2:127" x14ac:dyDescent="0.35"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</row>
    <row r="37" spans="2:127" x14ac:dyDescent="0.35"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</row>
    <row r="38" spans="2:127" x14ac:dyDescent="0.35"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</row>
    <row r="39" spans="2:127" x14ac:dyDescent="0.35"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</row>
    <row r="40" spans="2:127" x14ac:dyDescent="0.35"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</row>
    <row r="41" spans="2:127" x14ac:dyDescent="0.35"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</row>
    <row r="42" spans="2:127" x14ac:dyDescent="0.35"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</row>
    <row r="43" spans="2:127" x14ac:dyDescent="0.35"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</row>
    <row r="44" spans="2:127" x14ac:dyDescent="0.35"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</row>
    <row r="45" spans="2:127" x14ac:dyDescent="0.35"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</row>
    <row r="46" spans="2:127" x14ac:dyDescent="0.35"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</row>
    <row r="47" spans="2:127" x14ac:dyDescent="0.35"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</row>
    <row r="48" spans="2:127" x14ac:dyDescent="0.35"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</row>
    <row r="49" spans="2:127" x14ac:dyDescent="0.35"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</row>
    <row r="50" spans="2:127" x14ac:dyDescent="0.35"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</row>
    <row r="51" spans="2:127" x14ac:dyDescent="0.35"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</row>
  </sheetData>
  <conditionalFormatting sqref="C2:C26">
    <cfRule type="dataBar" priority="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{A55D7170-1844-46B2-AD7D-14FA763D835E}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5D7170-1844-46B2-AD7D-14FA763D835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C2:C26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C4E2-6610-4BC6-8382-4ED5653E3E92}">
  <dimension ref="A1:A10"/>
  <sheetViews>
    <sheetView topLeftCell="A3" workbookViewId="0">
      <selection activeCell="D20" sqref="D20"/>
    </sheetView>
  </sheetViews>
  <sheetFormatPr baseColWidth="10" defaultRowHeight="14.5" x14ac:dyDescent="0.35"/>
  <cols>
    <col min="1" max="1" width="51.36328125" customWidth="1"/>
  </cols>
  <sheetData>
    <row r="1" spans="1:1" x14ac:dyDescent="0.35">
      <c r="A1" s="29" t="s">
        <v>138</v>
      </c>
    </row>
    <row r="2" spans="1:1" x14ac:dyDescent="0.35">
      <c r="A2" s="29" t="s">
        <v>140</v>
      </c>
    </row>
    <row r="3" spans="1:1" x14ac:dyDescent="0.35">
      <c r="A3" s="29" t="s">
        <v>142</v>
      </c>
    </row>
    <row r="4" spans="1:1" x14ac:dyDescent="0.35">
      <c r="A4" s="28" t="s">
        <v>143</v>
      </c>
    </row>
    <row r="5" spans="1:1" x14ac:dyDescent="0.35">
      <c r="A5" s="28" t="s">
        <v>145</v>
      </c>
    </row>
    <row r="6" spans="1:1" x14ac:dyDescent="0.35">
      <c r="A6" s="28" t="s">
        <v>191</v>
      </c>
    </row>
    <row r="7" spans="1:1" x14ac:dyDescent="0.35">
      <c r="A7" s="28" t="s">
        <v>155</v>
      </c>
    </row>
    <row r="8" spans="1:1" x14ac:dyDescent="0.35">
      <c r="A8" s="29" t="s">
        <v>156</v>
      </c>
    </row>
    <row r="9" spans="1:1" x14ac:dyDescent="0.35">
      <c r="A9" s="28" t="s">
        <v>159</v>
      </c>
    </row>
    <row r="10" spans="1:1" x14ac:dyDescent="0.35">
      <c r="A10" s="2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Calificaciones</vt:lpstr>
      <vt:lpstr>Asistencia</vt:lpstr>
      <vt:lpstr>Ruleta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 García</dc:creator>
  <cp:lastModifiedBy>Daniel Rodriguez García</cp:lastModifiedBy>
  <dcterms:created xsi:type="dcterms:W3CDTF">2025-01-12T17:48:42Z</dcterms:created>
  <dcterms:modified xsi:type="dcterms:W3CDTF">2026-10-12T22:08:18Z</dcterms:modified>
</cp:coreProperties>
</file>