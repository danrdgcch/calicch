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397" documentId="8_{DCCFC337-92A5-4736-9451-A8BA99A6C26B}" xr6:coauthVersionLast="47" xr6:coauthVersionMax="47" xr10:uidLastSave="{A4A907E6-5F0F-4FDA-880C-CF3FFB981BD8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4" l="1"/>
  <c r="D25" i="2" s="1"/>
  <c r="W3" i="2"/>
  <c r="W4" i="2"/>
  <c r="W5" i="2"/>
  <c r="K5" i="2"/>
  <c r="O5" i="2"/>
  <c r="O2" i="2"/>
  <c r="O3" i="2"/>
  <c r="O4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R5" i="2"/>
  <c r="S5" i="2" s="1"/>
  <c r="W6" i="2"/>
  <c r="W7" i="2"/>
  <c r="W8" i="2"/>
  <c r="W9" i="2"/>
  <c r="W10" i="2"/>
  <c r="W11" i="2"/>
  <c r="W12" i="2"/>
  <c r="W13" i="2"/>
  <c r="W14" i="2"/>
  <c r="W15" i="2"/>
  <c r="W16" i="2"/>
  <c r="W17" i="2"/>
  <c r="K17" i="2"/>
  <c r="R17" i="2"/>
  <c r="S17" i="2" s="1"/>
  <c r="W18" i="2"/>
  <c r="W19" i="2"/>
  <c r="W20" i="2"/>
  <c r="W21" i="2"/>
  <c r="W22" i="2"/>
  <c r="W23" i="2"/>
  <c r="W24" i="2"/>
  <c r="W25" i="2"/>
  <c r="W2" i="2"/>
  <c r="R3" i="2"/>
  <c r="S3" i="2" s="1"/>
  <c r="R4" i="2"/>
  <c r="S4" i="2" s="1"/>
  <c r="R6" i="2"/>
  <c r="S6" i="2" s="1"/>
  <c r="R7" i="2"/>
  <c r="S7" i="2" s="1"/>
  <c r="R8" i="2"/>
  <c r="S8" i="2" s="1"/>
  <c r="R9" i="2"/>
  <c r="S9" i="2" s="1"/>
  <c r="R10" i="2"/>
  <c r="S10" i="2" s="1"/>
  <c r="K10" i="2"/>
  <c r="R11" i="2"/>
  <c r="S11" i="2" s="1"/>
  <c r="R12" i="2"/>
  <c r="S12" i="2" s="1"/>
  <c r="K12" i="2"/>
  <c r="R13" i="2"/>
  <c r="S13" i="2" s="1"/>
  <c r="K13" i="2"/>
  <c r="R14" i="2"/>
  <c r="S14" i="2" s="1"/>
  <c r="R15" i="2"/>
  <c r="S15" i="2" s="1"/>
  <c r="R16" i="2"/>
  <c r="S16" i="2" s="1"/>
  <c r="R18" i="2"/>
  <c r="S18" i="2" s="1"/>
  <c r="R19" i="2"/>
  <c r="S19" i="2" s="1"/>
  <c r="R20" i="2"/>
  <c r="S20" i="2" s="1"/>
  <c r="K20" i="2"/>
  <c r="R21" i="2"/>
  <c r="S21" i="2" s="1"/>
  <c r="R22" i="2"/>
  <c r="S22" i="2" s="1"/>
  <c r="R23" i="2"/>
  <c r="S23" i="2"/>
  <c r="K23" i="2"/>
  <c r="R24" i="2"/>
  <c r="S24" i="2" s="1"/>
  <c r="K24" i="2"/>
  <c r="R25" i="2"/>
  <c r="S25" i="2" s="1"/>
  <c r="R2" i="2"/>
  <c r="S2" i="2" s="1"/>
  <c r="K3" i="2"/>
  <c r="K9" i="2"/>
  <c r="K18" i="2"/>
  <c r="K19" i="2"/>
  <c r="K21" i="2"/>
  <c r="O25" i="2"/>
  <c r="K6" i="2"/>
  <c r="K8" i="2"/>
  <c r="K15" i="2"/>
  <c r="K4" i="2"/>
  <c r="K7" i="2"/>
  <c r="K11" i="2"/>
  <c r="K14" i="2"/>
  <c r="K16" i="2"/>
  <c r="K22" i="2"/>
  <c r="K25" i="2"/>
  <c r="DE25" i="4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/>
  <c r="DE19" i="4"/>
  <c r="C19" i="4"/>
  <c r="D19" i="2" s="1"/>
  <c r="DE18" i="4"/>
  <c r="C18" i="4"/>
  <c r="D18" i="2" s="1"/>
  <c r="DE17" i="4"/>
  <c r="C17" i="4"/>
  <c r="D17" i="2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/>
  <c r="DE5" i="4"/>
  <c r="C5" i="4"/>
  <c r="D5" i="2" s="1"/>
  <c r="DE4" i="4"/>
  <c r="C4" i="4"/>
  <c r="D4" i="2"/>
  <c r="DE3" i="4"/>
  <c r="C3" i="4"/>
  <c r="D3" i="2"/>
  <c r="DE2" i="4"/>
  <c r="C2" i="4"/>
  <c r="D2" i="2"/>
  <c r="K2" i="2"/>
  <c r="E38" i="2"/>
  <c r="E45" i="2"/>
  <c r="E44" i="2"/>
  <c r="E43" i="2"/>
  <c r="E42" i="2"/>
  <c r="E41" i="2"/>
  <c r="E40" i="2"/>
  <c r="E39" i="2"/>
  <c r="E37" i="2"/>
  <c r="E36" i="2"/>
  <c r="E35" i="2"/>
  <c r="E34" i="2"/>
  <c r="P12" i="2" l="1"/>
  <c r="F12" i="2" s="1"/>
  <c r="P3" i="2"/>
  <c r="F3" i="2" s="1"/>
  <c r="P8" i="2"/>
  <c r="F8" i="2" s="1"/>
  <c r="P9" i="2"/>
  <c r="F9" i="2" s="1"/>
  <c r="P14" i="2"/>
  <c r="F14" i="2" s="1"/>
  <c r="P16" i="2"/>
  <c r="F16" i="2" s="1"/>
  <c r="P18" i="2"/>
  <c r="F18" i="2" s="1"/>
  <c r="P21" i="2"/>
  <c r="F21" i="2" s="1"/>
  <c r="P2" i="2"/>
  <c r="F2" i="2" s="1"/>
  <c r="P4" i="2"/>
  <c r="F4" i="2" s="1"/>
  <c r="P7" i="2"/>
  <c r="F7" i="2" s="1"/>
  <c r="P11" i="2"/>
  <c r="F11" i="2" s="1"/>
  <c r="P15" i="2"/>
  <c r="F15" i="2" s="1"/>
  <c r="P19" i="2"/>
  <c r="F19" i="2" s="1"/>
  <c r="P22" i="2"/>
  <c r="F22" i="2" s="1"/>
  <c r="P6" i="2"/>
  <c r="F6" i="2" s="1"/>
  <c r="P25" i="2"/>
  <c r="F25" i="2" s="1"/>
  <c r="P5" i="2"/>
  <c r="F5" i="2" s="1"/>
  <c r="P13" i="2"/>
  <c r="F13" i="2" s="1"/>
  <c r="P20" i="2"/>
  <c r="F20" i="2" s="1"/>
  <c r="P23" i="2"/>
  <c r="F23" i="2" s="1"/>
  <c r="P24" i="2"/>
  <c r="F24" i="2" s="1"/>
  <c r="P17" i="2"/>
  <c r="F17" i="2" s="1"/>
  <c r="P10" i="2"/>
  <c r="F10" i="2" s="1"/>
  <c r="F37" i="2" l="1"/>
  <c r="F36" i="2"/>
  <c r="F35" i="2"/>
  <c r="F38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tc={624C5A39-0602-47F1-934A-CEC10A1755B5}</author>
  </authors>
  <commentList>
    <comment ref="A21" authorId="0" shapeId="0" xr:uid="{624C5A39-0602-47F1-934A-CEC10A1755B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Ver si esta, xq en horarios cch no esta inscrita
</t>
      </text>
    </comment>
  </commentList>
</comments>
</file>

<file path=xl/sharedStrings.xml><?xml version="1.0" encoding="utf-8"?>
<sst xmlns="http://schemas.openxmlformats.org/spreadsheetml/2006/main" count="223" uniqueCount="195">
  <si>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</si>
  <si>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</si>
  <si>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</si>
  <si>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</si>
  <si>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</si>
  <si>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</si>
  <si>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</si>
  <si>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</si>
  <si>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</si>
  <si>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</si>
  <si>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</si>
  <si>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</si>
  <si>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</si>
  <si>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</si>
  <si>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</si>
  <si>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</si>
  <si>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</si>
  <si>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</si>
  <si>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</si>
  <si>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</si>
  <si>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</si>
  <si>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</si>
  <si>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</si>
  <si>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</si>
  <si>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</si>
  <si>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</si>
  <si>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</si>
  <si>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</si>
  <si>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</si>
  <si>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</si>
  <si>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</si>
  <si>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</si>
  <si>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</si>
  <si>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</si>
  <si>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</si>
  <si>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</si>
  <si>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</si>
  <si>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</si>
  <si>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</si>
  <si>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</si>
  <si>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</si>
  <si>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</si>
  <si>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</si>
  <si>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</si>
  <si>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</si>
  <si>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</si>
  <si>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</si>
  <si>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</si>
  <si>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</si>
  <si>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</si>
  <si>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</si>
  <si>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</si>
  <si>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</si>
  <si>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</si>
  <si>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</si>
  <si>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</si>
  <si>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</si>
  <si>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</si>
  <si>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</si>
  <si>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</si>
  <si>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</si>
  <si>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</si>
  <si>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</si>
  <si>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</si>
  <si>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</si>
  <si>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</si>
  <si>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</si>
  <si>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</si>
  <si>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</si>
  <si>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</si>
  <si>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</si>
  <si>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</si>
  <si>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</si>
  <si>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</si>
  <si>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</si>
  <si>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</si>
  <si>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</si>
  <si>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</si>
  <si>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</si>
  <si>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</si>
  <si>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</si>
  <si>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</si>
  <si>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</si>
  <si>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</si>
  <si>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</si>
  <si>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</si>
  <si>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</si>
  <si>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</si>
  <si>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</si>
  <si>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</si>
  <si>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</si>
  <si>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</si>
  <si>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</si>
  <si>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</si>
  <si>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</si>
  <si>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</si>
  <si>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</si>
  <si>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</si>
  <si>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</si>
  <si>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</si>
  <si>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</si>
  <si>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</si>
  <si>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</si>
  <si>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</si>
  <si>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</si>
  <si>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</si>
  <si>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</si>
  <si>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</si>
  <si>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</si>
  <si>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</si>
  <si>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</si>
  <si>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</si>
  <si>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</si>
  <si>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</si>
  <si>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</si>
  <si>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</si>
  <si>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</si>
  <si>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</si>
  <si>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</si>
  <si>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</si>
  <si>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</si>
  <si>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</si>
  <si>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</si>
  <si>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</si>
  <si>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</si>
  <si>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</si>
  <si>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</si>
  <si>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</si>
  <si>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</si>
  <si>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</si>
  <si>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</si>
  <si>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</si>
  <si>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</si>
  <si>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</si>
  <si>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</si>
  <si>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</si>
  <si>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</si>
  <si>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</si>
  <si>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ALOMIA MONROY GUSTAVO ADOLFO</t>
  </si>
  <si>
    <t>AMBROSIO LOPEZ ANDREA YOALI</t>
  </si>
  <si>
    <t>CAMPOS BERNAL ANGEL EDUARDO</t>
  </si>
  <si>
    <t>CARRILLO GUTIERREZ EDER JOHAN</t>
  </si>
  <si>
    <t>CHAPARRO HERNANDEZ NAOMI RENATA</t>
  </si>
  <si>
    <t>DURAN CADILLO CAROLINE EDITH</t>
  </si>
  <si>
    <t>DURAN MOSQUEDA ARIADNA LEILANI</t>
  </si>
  <si>
    <t>ESPINOSA ZAVALA SANTIAGO</t>
  </si>
  <si>
    <t>GARCIA HERNANDEZ RENNATA EMILY</t>
  </si>
  <si>
    <t>GONZALEZ FRAGA ALISON</t>
  </si>
  <si>
    <t>GONZALEZ GONZALEZ DANNA VALERIA</t>
  </si>
  <si>
    <t>GUERRERO PADRON SANTIAGO</t>
  </si>
  <si>
    <t>GUTIERREZ PATIÑO FRIDA ALESSANDRA</t>
  </si>
  <si>
    <t>HERRERIAS GARCIA SOFIA ISABELLA</t>
  </si>
  <si>
    <t>IBARRA DIAZ SOPHIA GUADALUPE</t>
  </si>
  <si>
    <t>LAGOS CANO SAUL DAVID</t>
  </si>
  <si>
    <t>LOPEZ JACOBO CAMILA RENATA</t>
  </si>
  <si>
    <t>MAXIMILIANO LAZARO MARIA ISABEL</t>
  </si>
  <si>
    <t>MUÑOZ CADENA RODRIGO AUGUSTO</t>
  </si>
  <si>
    <t>PEREZ ISLAS ALONDRA CAMILA</t>
  </si>
  <si>
    <t>SERNA CASTAÑEDA REGINA SUGEY</t>
  </si>
  <si>
    <t>SINCO ANTONIO SANDRA DANAE</t>
  </si>
  <si>
    <t>VAZQUEZ VALENCIA LUZ MARIA</t>
  </si>
  <si>
    <t>ZAMORA JIMENEZ XIMENA ALESSANDRA</t>
  </si>
  <si>
    <t>GUSTAVO</t>
  </si>
  <si>
    <t>ANDREA</t>
  </si>
  <si>
    <t>ANGEL</t>
  </si>
  <si>
    <t>EDER</t>
  </si>
  <si>
    <t>NAOMI</t>
  </si>
  <si>
    <t>CAROLINE</t>
  </si>
  <si>
    <t>ARIADNA</t>
  </si>
  <si>
    <t>RENNATA</t>
  </si>
  <si>
    <t>DANNA</t>
  </si>
  <si>
    <t>FRIDA</t>
  </si>
  <si>
    <t>SOFIA</t>
  </si>
  <si>
    <t>SOPHIA</t>
  </si>
  <si>
    <t>SAUL</t>
  </si>
  <si>
    <t>CAMILA</t>
  </si>
  <si>
    <t>MARIA</t>
  </si>
  <si>
    <t>RODRIGO</t>
  </si>
  <si>
    <t>ALONDRA</t>
  </si>
  <si>
    <t>REGINA</t>
  </si>
  <si>
    <t>SANDRA</t>
  </si>
  <si>
    <t>LUZ</t>
  </si>
  <si>
    <t>XIMENA</t>
  </si>
  <si>
    <t>SANTIAGO</t>
  </si>
  <si>
    <t>ALISON</t>
  </si>
  <si>
    <t>miércoles, 02, septiembre</t>
  </si>
  <si>
    <t>viernes, 04, septiembre</t>
  </si>
  <si>
    <t>lunes, 07, septiembre</t>
  </si>
  <si>
    <t>miércoles, 09, septiembre</t>
  </si>
  <si>
    <t>lunes, 14, septiembre</t>
  </si>
  <si>
    <t>viernes, 18, septiembre</t>
  </si>
  <si>
    <t>lunes, 21, septiembre</t>
  </si>
  <si>
    <t>lunes, 28, septiembre</t>
  </si>
  <si>
    <t>c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</si>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</sst>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8"/>
      <color rgb="FFC00000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9" fontId="4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6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0" applyFont="1" applyFill="1"/>
    <xf numFmtId="9" fontId="6" fillId="6" borderId="0" xfId="1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14C8B534-CA36-4724-B1F3-4700C21A1F60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28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1" dT="2026-08-30T14:01:41.91" personId="{14C8B534-CA36-4724-B1F3-4700C21A1F60}" id="{624C5A39-0602-47F1-934A-CEC10A1755B5}">
    <text xml:space="preserve">Ver si esta, xq en horarios cch no esta inscrita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zoomScale="123" zoomScaleNormal="160" workbookViewId="0">
      <selection activeCell="G26" sqref="G26"/>
    </sheetView>
  </sheetViews>
  <sheetFormatPr baseColWidth="10" defaultColWidth="10.7265625" defaultRowHeight="14.5" x14ac:dyDescent="0.35"/>
  <cols>
    <col min="1" max="1" width="12.7265625" customWidth="1"/>
    <col min="2" max="2" width="32.81640625" style="15" customWidth="1"/>
    <col min="3" max="3" width="14.81640625" style="15" hidden="1" customWidth="1"/>
    <col min="4" max="4" width="8.81640625" style="16" hidden="1" customWidth="1"/>
    <col min="5" max="5" width="8.1796875" style="15" hidden="1" customWidth="1"/>
    <col min="6" max="6" width="7.81640625" hidden="1" customWidth="1"/>
    <col min="7" max="7" width="7.54296875" customWidth="1"/>
    <col min="8" max="9" width="8" hidden="1" customWidth="1"/>
    <col min="10" max="10" width="6.54296875" hidden="1" customWidth="1"/>
    <col min="11" max="11" width="11.453125" hidden="1" customWidth="1"/>
    <col min="12" max="13" width="6.453125" hidden="1" customWidth="1"/>
    <col min="14" max="14" width="7.1796875" hidden="1" customWidth="1"/>
    <col min="15" max="15" width="6.26953125" hidden="1" customWidth="1"/>
    <col min="16" max="16" width="8.453125" hidden="1" customWidth="1"/>
    <col min="17" max="18" width="7.453125" hidden="1" customWidth="1"/>
    <col min="19" max="23" width="11.453125" hidden="1" customWidth="1"/>
    <col min="24" max="24" width="10.7265625" hidden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x14ac:dyDescent="0.35">
      <c r="A2" s="3">
        <v>326249691</v>
      </c>
      <c r="B2" s="4" t="s">
        <v>138</v>
      </c>
      <c r="C2" s="4" t="s">
        <v>162</v>
      </c>
      <c r="D2" s="8">
        <f>Tabla1[[#This Row],[Porcentaje de Asistencia]]</f>
        <v>0.77777777777777779</v>
      </c>
      <c r="E2" s="9"/>
      <c r="F2" s="10">
        <f>IFERROR(IF(OR(K2="NP",P2="NP",S2="NP",W2="NP"),"NP",K2+P2+S2+W2+X2),0)</f>
        <v>3.8383333333333338</v>
      </c>
      <c r="G2" s="11">
        <v>4</v>
      </c>
      <c r="H2" s="11"/>
      <c r="I2" s="11"/>
      <c r="J2" s="11"/>
      <c r="K2" s="12">
        <f t="shared" ref="K2:K25" si="0">IF(OR(G2="NP", H2="NP", I2="NP"), "NP", ((G2*$E$32/$E$33) + (I2*$E$32/$E$33) + (H2*$E$32/$E$33)+(J2*$E$32/$E$33))/10)</f>
        <v>0.66666666666666674</v>
      </c>
      <c r="L2" s="11">
        <v>8</v>
      </c>
      <c r="M2" s="11"/>
      <c r="N2" s="2"/>
      <c r="O2" s="11">
        <f>SUM(L2:N2)</f>
        <v>8</v>
      </c>
      <c r="P2" s="12">
        <f t="shared" ref="P2:P25" si="1">IFERROR((O2*2)/MAX($O$2:$O$24),0)</f>
        <v>1.0666666666666667</v>
      </c>
      <c r="Q2" s="11">
        <v>2.7</v>
      </c>
      <c r="R2" s="13">
        <f>AVERAGE(Q2:Q2)</f>
        <v>2.7</v>
      </c>
      <c r="S2" s="14">
        <f>IFERROR(R2*0.15,0)</f>
        <v>0.40500000000000003</v>
      </c>
      <c r="T2" s="11">
        <v>8.5</v>
      </c>
      <c r="U2" s="11"/>
      <c r="V2" s="11"/>
      <c r="W2" s="14">
        <f>IFERROR(AVERAGE(T2:V2)*0.2,0)</f>
        <v>1.7000000000000002</v>
      </c>
      <c r="X2" s="14"/>
    </row>
    <row r="3" spans="1:24" ht="15" customHeight="1" x14ac:dyDescent="0.35">
      <c r="A3" s="3">
        <v>326033843</v>
      </c>
      <c r="B3" s="4" t="s">
        <v>139</v>
      </c>
      <c r="C3" s="4" t="s">
        <v>163</v>
      </c>
      <c r="D3" s="8">
        <f>Tabla1[[#This Row],[Porcentaje de Asistencia]]</f>
        <v>0.1111111111111111</v>
      </c>
      <c r="E3" s="9"/>
      <c r="F3" s="10" t="str">
        <f t="shared" ref="F3:F25" si="2">IFERROR(IF(OR(K3="NP",P3="NP",S3="NP",W3="NP"),"NP",K3+P3+S3+W3+X3),0)</f>
        <v>NP</v>
      </c>
      <c r="G3" s="11" t="s">
        <v>194</v>
      </c>
      <c r="H3" s="11"/>
      <c r="I3" s="11"/>
      <c r="J3" s="11"/>
      <c r="K3" s="12" t="str">
        <f t="shared" si="0"/>
        <v>NP</v>
      </c>
      <c r="L3" s="11">
        <v>0</v>
      </c>
      <c r="M3" s="11"/>
      <c r="N3" s="2"/>
      <c r="O3" s="11">
        <f t="shared" ref="O3:O25" si="3">SUM(L3:N3)</f>
        <v>0</v>
      </c>
      <c r="P3" s="12">
        <f t="shared" si="1"/>
        <v>0</v>
      </c>
      <c r="Q3" s="11">
        <v>0</v>
      </c>
      <c r="R3" s="13">
        <f t="shared" ref="R3:R25" si="4">AVERAGE(Q3:Q3)</f>
        <v>0</v>
      </c>
      <c r="S3" s="14">
        <f t="shared" ref="S3:S25" si="5">IFERROR(R3*0.15,0)</f>
        <v>0</v>
      </c>
      <c r="T3" s="11">
        <v>0</v>
      </c>
      <c r="U3" s="11"/>
      <c r="V3" s="11"/>
      <c r="W3" s="14">
        <f t="shared" ref="W3:W25" si="6">IFERROR(AVERAGE(T3:V3)*0.2,0)</f>
        <v>0</v>
      </c>
      <c r="X3" s="14"/>
    </row>
    <row r="4" spans="1:24" ht="15" customHeight="1" x14ac:dyDescent="0.35">
      <c r="A4" s="3">
        <v>326073625</v>
      </c>
      <c r="B4" s="4" t="s">
        <v>140</v>
      </c>
      <c r="C4" s="4" t="s">
        <v>164</v>
      </c>
      <c r="D4" s="8">
        <f>Tabla1[[#This Row],[Porcentaje de Asistencia]]</f>
        <v>0.77777777777777779</v>
      </c>
      <c r="E4" s="9"/>
      <c r="F4" s="10">
        <f t="shared" si="2"/>
        <v>4.4000000000000004</v>
      </c>
      <c r="G4" s="11">
        <v>10</v>
      </c>
      <c r="H4" s="11"/>
      <c r="I4" s="11"/>
      <c r="J4" s="11"/>
      <c r="K4" s="12">
        <f t="shared" si="0"/>
        <v>1.6666666666666667</v>
      </c>
      <c r="L4" s="11">
        <v>10</v>
      </c>
      <c r="M4" s="11"/>
      <c r="N4" s="2"/>
      <c r="O4" s="11">
        <f t="shared" si="3"/>
        <v>10</v>
      </c>
      <c r="P4" s="12">
        <f t="shared" si="1"/>
        <v>1.3333333333333333</v>
      </c>
      <c r="Q4" s="11">
        <v>3.6</v>
      </c>
      <c r="R4" s="13">
        <f t="shared" si="4"/>
        <v>3.6</v>
      </c>
      <c r="S4" s="14">
        <f t="shared" si="5"/>
        <v>0.54</v>
      </c>
      <c r="T4" s="11">
        <v>4.3</v>
      </c>
      <c r="U4" s="11"/>
      <c r="V4" s="11"/>
      <c r="W4" s="14">
        <f t="shared" si="6"/>
        <v>0.86</v>
      </c>
      <c r="X4" s="14"/>
    </row>
    <row r="5" spans="1:24" ht="15" customHeight="1" x14ac:dyDescent="0.35">
      <c r="A5" s="3">
        <v>326008447</v>
      </c>
      <c r="B5" s="4" t="s">
        <v>141</v>
      </c>
      <c r="C5" s="4" t="s">
        <v>165</v>
      </c>
      <c r="D5" s="8">
        <f>Tabla1[[#This Row],[Porcentaje de Asistencia]]</f>
        <v>1</v>
      </c>
      <c r="E5" s="9"/>
      <c r="F5" s="10">
        <f t="shared" si="2"/>
        <v>4.1866666666666665</v>
      </c>
      <c r="G5" s="11">
        <v>6</v>
      </c>
      <c r="H5" s="11"/>
      <c r="I5" s="11"/>
      <c r="J5" s="11"/>
      <c r="K5" s="12">
        <f t="shared" si="0"/>
        <v>1</v>
      </c>
      <c r="L5" s="11">
        <v>8</v>
      </c>
      <c r="M5" s="11"/>
      <c r="N5" s="2"/>
      <c r="O5" s="11">
        <f t="shared" si="3"/>
        <v>8</v>
      </c>
      <c r="P5" s="12">
        <f t="shared" si="1"/>
        <v>1.0666666666666667</v>
      </c>
      <c r="Q5" s="11">
        <v>2.8</v>
      </c>
      <c r="R5" s="13">
        <f t="shared" si="4"/>
        <v>2.8</v>
      </c>
      <c r="S5" s="14">
        <f t="shared" si="5"/>
        <v>0.42</v>
      </c>
      <c r="T5" s="11">
        <v>8.5</v>
      </c>
      <c r="U5" s="11"/>
      <c r="V5" s="11"/>
      <c r="W5" s="14">
        <f t="shared" si="6"/>
        <v>1.7000000000000002</v>
      </c>
      <c r="X5" s="14"/>
    </row>
    <row r="6" spans="1:24" ht="15" customHeight="1" x14ac:dyDescent="0.35">
      <c r="A6" s="3">
        <v>326092514</v>
      </c>
      <c r="B6" s="4" t="s">
        <v>142</v>
      </c>
      <c r="C6" s="4" t="s">
        <v>166</v>
      </c>
      <c r="D6" s="8">
        <f>Tabla1[[#This Row],[Porcentaje de Asistencia]]</f>
        <v>1</v>
      </c>
      <c r="E6" s="9"/>
      <c r="F6" s="10">
        <f t="shared" si="2"/>
        <v>6.28</v>
      </c>
      <c r="G6" s="11">
        <v>8</v>
      </c>
      <c r="H6" s="11"/>
      <c r="I6" s="11"/>
      <c r="J6" s="11"/>
      <c r="K6" s="12">
        <f t="shared" si="0"/>
        <v>1.3333333333333335</v>
      </c>
      <c r="L6" s="11">
        <v>14</v>
      </c>
      <c r="M6" s="11"/>
      <c r="N6" s="2"/>
      <c r="O6" s="11">
        <f t="shared" si="3"/>
        <v>14</v>
      </c>
      <c r="P6" s="12">
        <f t="shared" si="1"/>
        <v>1.8666666666666667</v>
      </c>
      <c r="Q6" s="11">
        <v>9.1999999999999993</v>
      </c>
      <c r="R6" s="13">
        <f t="shared" si="4"/>
        <v>9.1999999999999993</v>
      </c>
      <c r="S6" s="14">
        <f t="shared" si="5"/>
        <v>1.38</v>
      </c>
      <c r="T6" s="11">
        <v>8.5</v>
      </c>
      <c r="U6" s="11"/>
      <c r="V6" s="11"/>
      <c r="W6" s="14">
        <f t="shared" si="6"/>
        <v>1.7000000000000002</v>
      </c>
      <c r="X6" s="14"/>
    </row>
    <row r="7" spans="1:24" ht="15" customHeight="1" x14ac:dyDescent="0.35">
      <c r="A7" s="3">
        <v>326326567</v>
      </c>
      <c r="B7" s="4" t="s">
        <v>143</v>
      </c>
      <c r="C7" s="4" t="s">
        <v>167</v>
      </c>
      <c r="D7" s="8">
        <f>Tabla1[[#This Row],[Porcentaje de Asistencia]]</f>
        <v>0.88888888888888884</v>
      </c>
      <c r="E7" s="9"/>
      <c r="F7" s="10">
        <f t="shared" si="2"/>
        <v>4.331666666666667</v>
      </c>
      <c r="G7" s="11">
        <v>3</v>
      </c>
      <c r="H7" s="11"/>
      <c r="I7" s="11"/>
      <c r="J7" s="11"/>
      <c r="K7" s="12">
        <f t="shared" si="0"/>
        <v>0.5</v>
      </c>
      <c r="L7" s="11">
        <v>11</v>
      </c>
      <c r="M7" s="11"/>
      <c r="N7" s="2"/>
      <c r="O7" s="11">
        <f t="shared" si="3"/>
        <v>11</v>
      </c>
      <c r="P7" s="12">
        <f t="shared" si="1"/>
        <v>1.4666666666666666</v>
      </c>
      <c r="Q7" s="11">
        <v>7.5</v>
      </c>
      <c r="R7" s="13">
        <f t="shared" si="4"/>
        <v>7.5</v>
      </c>
      <c r="S7" s="14">
        <f t="shared" si="5"/>
        <v>1.125</v>
      </c>
      <c r="T7" s="11">
        <v>6.2</v>
      </c>
      <c r="U7" s="11"/>
      <c r="V7" s="11"/>
      <c r="W7" s="14">
        <f t="shared" si="6"/>
        <v>1.2400000000000002</v>
      </c>
      <c r="X7" s="14"/>
    </row>
    <row r="8" spans="1:24" ht="15" customHeight="1" x14ac:dyDescent="0.35">
      <c r="A8" s="3">
        <v>326343108</v>
      </c>
      <c r="B8" s="4" t="s">
        <v>144</v>
      </c>
      <c r="C8" s="4" t="s">
        <v>168</v>
      </c>
      <c r="D8" s="8">
        <f>Tabla1[[#This Row],[Porcentaje de Asistencia]]</f>
        <v>1</v>
      </c>
      <c r="E8" s="9"/>
      <c r="F8" s="10">
        <f t="shared" si="2"/>
        <v>6.8666666666666671</v>
      </c>
      <c r="G8" s="11">
        <v>10</v>
      </c>
      <c r="H8" s="11"/>
      <c r="I8" s="11"/>
      <c r="J8" s="11"/>
      <c r="K8" s="12">
        <f t="shared" si="0"/>
        <v>1.6666666666666667</v>
      </c>
      <c r="L8" s="11">
        <v>15</v>
      </c>
      <c r="M8" s="11"/>
      <c r="N8" s="2"/>
      <c r="O8" s="11">
        <f t="shared" si="3"/>
        <v>15</v>
      </c>
      <c r="P8" s="12">
        <f t="shared" si="1"/>
        <v>2</v>
      </c>
      <c r="Q8" s="11">
        <v>10</v>
      </c>
      <c r="R8" s="13">
        <f t="shared" si="4"/>
        <v>10</v>
      </c>
      <c r="S8" s="14">
        <f t="shared" si="5"/>
        <v>1.5</v>
      </c>
      <c r="T8" s="11">
        <v>8.5</v>
      </c>
      <c r="U8" s="11"/>
      <c r="V8" s="11"/>
      <c r="W8" s="14">
        <f t="shared" si="6"/>
        <v>1.7000000000000002</v>
      </c>
      <c r="X8" s="14"/>
    </row>
    <row r="9" spans="1:24" ht="15" customHeight="1" x14ac:dyDescent="0.35">
      <c r="A9" s="3">
        <v>326248704</v>
      </c>
      <c r="B9" s="4" t="s">
        <v>145</v>
      </c>
      <c r="C9" s="4" t="s">
        <v>183</v>
      </c>
      <c r="D9" s="8">
        <f>Tabla1[[#This Row],[Porcentaje de Asistencia]]</f>
        <v>0.77777777777777779</v>
      </c>
      <c r="E9" s="9"/>
      <c r="F9" s="10">
        <f t="shared" si="2"/>
        <v>4.1283333333333339</v>
      </c>
      <c r="G9" s="11">
        <v>10</v>
      </c>
      <c r="H9" s="11"/>
      <c r="I9" s="11"/>
      <c r="J9" s="11"/>
      <c r="K9" s="12">
        <f t="shared" si="0"/>
        <v>1.6666666666666667</v>
      </c>
      <c r="L9" s="11">
        <v>8</v>
      </c>
      <c r="M9" s="11"/>
      <c r="N9" s="2"/>
      <c r="O9" s="11">
        <f t="shared" si="3"/>
        <v>8</v>
      </c>
      <c r="P9" s="12">
        <f t="shared" si="1"/>
        <v>1.0666666666666667</v>
      </c>
      <c r="Q9" s="11">
        <v>1.3</v>
      </c>
      <c r="R9" s="13">
        <f t="shared" si="4"/>
        <v>1.3</v>
      </c>
      <c r="S9" s="14">
        <f t="shared" si="5"/>
        <v>0.19500000000000001</v>
      </c>
      <c r="T9" s="11">
        <v>6</v>
      </c>
      <c r="U9" s="11"/>
      <c r="V9" s="11"/>
      <c r="W9" s="14">
        <f t="shared" si="6"/>
        <v>1.2000000000000002</v>
      </c>
      <c r="X9" s="14"/>
    </row>
    <row r="10" spans="1:24" ht="15" customHeight="1" x14ac:dyDescent="0.35">
      <c r="A10" s="3">
        <v>326252750</v>
      </c>
      <c r="B10" s="4" t="s">
        <v>146</v>
      </c>
      <c r="C10" s="4" t="s">
        <v>169</v>
      </c>
      <c r="D10" s="8">
        <f>Tabla1[[#This Row],[Porcentaje de Asistencia]]</f>
        <v>0.77777777777777779</v>
      </c>
      <c r="E10" s="9"/>
      <c r="F10" s="10">
        <f t="shared" si="2"/>
        <v>4.38</v>
      </c>
      <c r="G10" s="11">
        <v>5</v>
      </c>
      <c r="H10" s="11"/>
      <c r="I10" s="11"/>
      <c r="J10" s="11"/>
      <c r="K10" s="12">
        <f t="shared" si="0"/>
        <v>0.83333333333333337</v>
      </c>
      <c r="L10" s="11">
        <v>11</v>
      </c>
      <c r="M10" s="11"/>
      <c r="N10" s="2"/>
      <c r="O10" s="11">
        <f t="shared" si="3"/>
        <v>11</v>
      </c>
      <c r="P10" s="12">
        <f t="shared" si="1"/>
        <v>1.4666666666666666</v>
      </c>
      <c r="Q10" s="11">
        <v>5.6</v>
      </c>
      <c r="R10" s="13">
        <f t="shared" si="4"/>
        <v>5.6</v>
      </c>
      <c r="S10" s="14">
        <f t="shared" si="5"/>
        <v>0.84</v>
      </c>
      <c r="T10" s="11">
        <v>6.2</v>
      </c>
      <c r="U10" s="11"/>
      <c r="V10" s="11"/>
      <c r="W10" s="14">
        <f t="shared" si="6"/>
        <v>1.2400000000000002</v>
      </c>
      <c r="X10" s="14"/>
    </row>
    <row r="11" spans="1:24" ht="15" customHeight="1" x14ac:dyDescent="0.35">
      <c r="A11" s="3">
        <v>326286348</v>
      </c>
      <c r="B11" s="4" t="s">
        <v>147</v>
      </c>
      <c r="C11" s="4" t="s">
        <v>184</v>
      </c>
      <c r="D11" s="8">
        <f>Tabla1[[#This Row],[Porcentaje de Asistencia]]</f>
        <v>1</v>
      </c>
      <c r="E11" s="9"/>
      <c r="F11" s="10">
        <f t="shared" si="2"/>
        <v>4.503333333333333</v>
      </c>
      <c r="G11" s="11">
        <v>4</v>
      </c>
      <c r="H11" s="11"/>
      <c r="I11" s="11"/>
      <c r="J11" s="11"/>
      <c r="K11" s="12">
        <f t="shared" si="0"/>
        <v>0.66666666666666674</v>
      </c>
      <c r="L11" s="11">
        <v>11</v>
      </c>
      <c r="M11" s="11"/>
      <c r="N11" s="2"/>
      <c r="O11" s="11">
        <f t="shared" si="3"/>
        <v>11</v>
      </c>
      <c r="P11" s="12">
        <f t="shared" si="1"/>
        <v>1.4666666666666666</v>
      </c>
      <c r="Q11" s="11">
        <v>9.4</v>
      </c>
      <c r="R11" s="13">
        <f t="shared" si="4"/>
        <v>9.4</v>
      </c>
      <c r="S11" s="14">
        <f t="shared" si="5"/>
        <v>1.41</v>
      </c>
      <c r="T11" s="11">
        <v>4.8</v>
      </c>
      <c r="U11" s="11"/>
      <c r="V11" s="11"/>
      <c r="W11" s="14">
        <f t="shared" si="6"/>
        <v>0.96</v>
      </c>
      <c r="X11" s="14"/>
    </row>
    <row r="12" spans="1:24" ht="15" customHeight="1" x14ac:dyDescent="0.35">
      <c r="A12" s="3">
        <v>326309706</v>
      </c>
      <c r="B12" s="4" t="s">
        <v>148</v>
      </c>
      <c r="C12" s="4" t="s">
        <v>170</v>
      </c>
      <c r="D12" s="8">
        <f>Tabla1[[#This Row],[Porcentaje de Asistencia]]</f>
        <v>0.77777777777777779</v>
      </c>
      <c r="E12" s="9"/>
      <c r="F12" s="10">
        <f t="shared" si="2"/>
        <v>5.0366666666666671</v>
      </c>
      <c r="G12" s="11">
        <v>10</v>
      </c>
      <c r="H12" s="11"/>
      <c r="I12" s="11"/>
      <c r="J12" s="11"/>
      <c r="K12" s="12">
        <f t="shared" si="0"/>
        <v>1.6666666666666667</v>
      </c>
      <c r="L12" s="11">
        <v>12</v>
      </c>
      <c r="M12" s="11"/>
      <c r="N12" s="2"/>
      <c r="O12" s="11">
        <f t="shared" si="3"/>
        <v>12</v>
      </c>
      <c r="P12" s="12">
        <f t="shared" si="1"/>
        <v>1.6</v>
      </c>
      <c r="Q12" s="11">
        <v>3.8</v>
      </c>
      <c r="R12" s="13">
        <f t="shared" si="4"/>
        <v>3.8</v>
      </c>
      <c r="S12" s="14">
        <f t="shared" si="5"/>
        <v>0.56999999999999995</v>
      </c>
      <c r="T12" s="11">
        <v>6</v>
      </c>
      <c r="U12" s="11"/>
      <c r="V12" s="11"/>
      <c r="W12" s="14">
        <f t="shared" si="6"/>
        <v>1.2000000000000002</v>
      </c>
      <c r="X12" s="14"/>
    </row>
    <row r="13" spans="1:24" ht="15" customHeight="1" x14ac:dyDescent="0.35">
      <c r="A13" s="3">
        <v>326014411</v>
      </c>
      <c r="B13" s="4" t="s">
        <v>149</v>
      </c>
      <c r="C13" s="4" t="s">
        <v>183</v>
      </c>
      <c r="D13" s="8">
        <f>Tabla1[[#This Row],[Porcentaje de Asistencia]]</f>
        <v>0.77777777777777779</v>
      </c>
      <c r="E13" s="9"/>
      <c r="F13" s="10">
        <f t="shared" si="2"/>
        <v>2.1133333333333333</v>
      </c>
      <c r="G13" s="11">
        <v>1</v>
      </c>
      <c r="H13" s="11"/>
      <c r="I13" s="11"/>
      <c r="J13" s="11"/>
      <c r="K13" s="12">
        <f t="shared" si="0"/>
        <v>0.16666666666666669</v>
      </c>
      <c r="L13" s="11">
        <v>5</v>
      </c>
      <c r="M13" s="11"/>
      <c r="N13" s="2"/>
      <c r="O13" s="11">
        <f t="shared" si="3"/>
        <v>5</v>
      </c>
      <c r="P13" s="12">
        <f t="shared" si="1"/>
        <v>0.66666666666666663</v>
      </c>
      <c r="Q13" s="11">
        <v>2.8</v>
      </c>
      <c r="R13" s="13">
        <f t="shared" si="4"/>
        <v>2.8</v>
      </c>
      <c r="S13" s="14">
        <f t="shared" si="5"/>
        <v>0.42</v>
      </c>
      <c r="T13" s="11">
        <v>4.3</v>
      </c>
      <c r="U13" s="11"/>
      <c r="V13" s="11"/>
      <c r="W13" s="14">
        <f t="shared" si="6"/>
        <v>0.86</v>
      </c>
      <c r="X13" s="14"/>
    </row>
    <row r="14" spans="1:24" ht="15" customHeight="1" x14ac:dyDescent="0.35">
      <c r="A14" s="3">
        <v>326209840</v>
      </c>
      <c r="B14" s="4" t="s">
        <v>150</v>
      </c>
      <c r="C14" s="4" t="s">
        <v>171</v>
      </c>
      <c r="D14" s="8">
        <f>Tabla1[[#This Row],[Porcentaje de Asistencia]]</f>
        <v>1</v>
      </c>
      <c r="E14" s="9"/>
      <c r="F14" s="10">
        <f t="shared" si="2"/>
        <v>4.5649999999999995</v>
      </c>
      <c r="G14" s="11">
        <v>6</v>
      </c>
      <c r="H14" s="11"/>
      <c r="I14" s="11"/>
      <c r="J14" s="11"/>
      <c r="K14" s="12">
        <f t="shared" si="0"/>
        <v>1</v>
      </c>
      <c r="L14" s="11">
        <v>12</v>
      </c>
      <c r="M14" s="11"/>
      <c r="N14" s="2"/>
      <c r="O14" s="11">
        <f t="shared" si="3"/>
        <v>12</v>
      </c>
      <c r="P14" s="12">
        <f t="shared" si="1"/>
        <v>1.6</v>
      </c>
      <c r="Q14" s="11">
        <v>6.7</v>
      </c>
      <c r="R14" s="13">
        <f t="shared" si="4"/>
        <v>6.7</v>
      </c>
      <c r="S14" s="14">
        <f t="shared" si="5"/>
        <v>1.0049999999999999</v>
      </c>
      <c r="T14" s="11">
        <v>4.8</v>
      </c>
      <c r="U14" s="11"/>
      <c r="V14" s="11"/>
      <c r="W14" s="14">
        <f t="shared" si="6"/>
        <v>0.96</v>
      </c>
      <c r="X14" s="14"/>
    </row>
    <row r="15" spans="1:24" ht="15" customHeight="1" x14ac:dyDescent="0.35">
      <c r="A15" s="3">
        <v>326280470</v>
      </c>
      <c r="B15" s="4" t="s">
        <v>151</v>
      </c>
      <c r="C15" s="4" t="s">
        <v>172</v>
      </c>
      <c r="D15" s="8">
        <f>Tabla1[[#This Row],[Porcentaje de Asistencia]]</f>
        <v>1</v>
      </c>
      <c r="E15" s="9"/>
      <c r="F15" s="10">
        <f t="shared" si="2"/>
        <v>5.6783333333333337</v>
      </c>
      <c r="G15" s="11">
        <v>10</v>
      </c>
      <c r="H15" s="11"/>
      <c r="I15" s="11"/>
      <c r="J15" s="11"/>
      <c r="K15" s="12">
        <f t="shared" si="0"/>
        <v>1.6666666666666667</v>
      </c>
      <c r="L15" s="11">
        <v>14</v>
      </c>
      <c r="M15" s="11"/>
      <c r="N15" s="2"/>
      <c r="O15" s="11">
        <f t="shared" si="3"/>
        <v>14</v>
      </c>
      <c r="P15" s="12">
        <f t="shared" si="1"/>
        <v>1.8666666666666667</v>
      </c>
      <c r="Q15" s="11">
        <v>7.9</v>
      </c>
      <c r="R15" s="13">
        <f t="shared" si="4"/>
        <v>7.9</v>
      </c>
      <c r="S15" s="14">
        <f t="shared" si="5"/>
        <v>1.1850000000000001</v>
      </c>
      <c r="T15" s="11">
        <v>4.8</v>
      </c>
      <c r="U15" s="11"/>
      <c r="V15" s="11"/>
      <c r="W15" s="14">
        <f t="shared" si="6"/>
        <v>0.96</v>
      </c>
      <c r="X15" s="14"/>
    </row>
    <row r="16" spans="1:24" ht="15" customHeight="1" x14ac:dyDescent="0.35">
      <c r="A16" s="3">
        <v>326025277</v>
      </c>
      <c r="B16" s="4" t="s">
        <v>152</v>
      </c>
      <c r="C16" s="4" t="s">
        <v>173</v>
      </c>
      <c r="D16" s="8">
        <f>Tabla1[[#This Row],[Porcentaje de Asistencia]]</f>
        <v>0.88888888888888884</v>
      </c>
      <c r="E16" s="9"/>
      <c r="F16" s="10">
        <f t="shared" si="2"/>
        <v>3.2350000000000003</v>
      </c>
      <c r="G16" s="11">
        <v>1</v>
      </c>
      <c r="H16" s="11"/>
      <c r="I16" s="11"/>
      <c r="J16" s="11"/>
      <c r="K16" s="12">
        <f t="shared" si="0"/>
        <v>0.16666666666666669</v>
      </c>
      <c r="L16" s="11">
        <v>10</v>
      </c>
      <c r="M16" s="11"/>
      <c r="N16" s="2"/>
      <c r="O16" s="11">
        <f t="shared" si="3"/>
        <v>10</v>
      </c>
      <c r="P16" s="12">
        <f t="shared" si="1"/>
        <v>1.3333333333333333</v>
      </c>
      <c r="Q16" s="11">
        <v>3.3</v>
      </c>
      <c r="R16" s="13">
        <f t="shared" si="4"/>
        <v>3.3</v>
      </c>
      <c r="S16" s="14">
        <f t="shared" si="5"/>
        <v>0.49499999999999994</v>
      </c>
      <c r="T16" s="11">
        <v>6.2</v>
      </c>
      <c r="U16" s="11"/>
      <c r="V16" s="11"/>
      <c r="W16" s="14">
        <f t="shared" si="6"/>
        <v>1.2400000000000002</v>
      </c>
      <c r="X16" s="14"/>
    </row>
    <row r="17" spans="1:24" ht="15" customHeight="1" x14ac:dyDescent="0.35">
      <c r="A17" s="3">
        <v>326199998</v>
      </c>
      <c r="B17" s="4" t="s">
        <v>153</v>
      </c>
      <c r="C17" s="4" t="s">
        <v>174</v>
      </c>
      <c r="D17" s="8">
        <f>Tabla1[[#This Row],[Porcentaje de Asistencia]]</f>
        <v>1</v>
      </c>
      <c r="E17" s="9"/>
      <c r="F17" s="10">
        <f t="shared" si="2"/>
        <v>5.1100000000000003</v>
      </c>
      <c r="G17" s="11">
        <v>10</v>
      </c>
      <c r="H17" s="11"/>
      <c r="I17" s="11"/>
      <c r="J17" s="11"/>
      <c r="K17" s="12">
        <f t="shared" si="0"/>
        <v>1.6666666666666667</v>
      </c>
      <c r="L17" s="11">
        <v>13</v>
      </c>
      <c r="M17" s="11"/>
      <c r="N17" s="2"/>
      <c r="O17" s="11">
        <f t="shared" si="3"/>
        <v>13</v>
      </c>
      <c r="P17" s="12">
        <f t="shared" si="1"/>
        <v>1.7333333333333334</v>
      </c>
      <c r="Q17" s="11">
        <v>5</v>
      </c>
      <c r="R17" s="13">
        <f t="shared" si="4"/>
        <v>5</v>
      </c>
      <c r="S17" s="14">
        <f t="shared" si="5"/>
        <v>0.75</v>
      </c>
      <c r="T17" s="11">
        <v>4.8</v>
      </c>
      <c r="U17" s="11"/>
      <c r="V17" s="11"/>
      <c r="W17" s="14">
        <f t="shared" si="6"/>
        <v>0.96</v>
      </c>
      <c r="X17" s="14"/>
    </row>
    <row r="18" spans="1:24" ht="15" customHeight="1" x14ac:dyDescent="0.35">
      <c r="A18" s="3">
        <v>326340444</v>
      </c>
      <c r="B18" s="4" t="s">
        <v>154</v>
      </c>
      <c r="C18" s="4" t="s">
        <v>175</v>
      </c>
      <c r="D18" s="8">
        <f>Tabla1[[#This Row],[Porcentaje de Asistencia]]</f>
        <v>1</v>
      </c>
      <c r="E18" s="9"/>
      <c r="F18" s="10">
        <f t="shared" si="2"/>
        <v>4.7616666666666667</v>
      </c>
      <c r="G18" s="11">
        <v>8</v>
      </c>
      <c r="H18" s="11"/>
      <c r="I18" s="11"/>
      <c r="J18" s="11"/>
      <c r="K18" s="12">
        <f t="shared" si="0"/>
        <v>1.3333333333333335</v>
      </c>
      <c r="L18" s="11">
        <v>13</v>
      </c>
      <c r="M18" s="11"/>
      <c r="N18" s="2"/>
      <c r="O18" s="11">
        <f t="shared" si="3"/>
        <v>13</v>
      </c>
      <c r="P18" s="12">
        <f t="shared" si="1"/>
        <v>1.7333333333333334</v>
      </c>
      <c r="Q18" s="11">
        <v>3.3</v>
      </c>
      <c r="R18" s="13">
        <f t="shared" si="4"/>
        <v>3.3</v>
      </c>
      <c r="S18" s="14">
        <f t="shared" si="5"/>
        <v>0.49499999999999994</v>
      </c>
      <c r="T18" s="11">
        <v>6</v>
      </c>
      <c r="U18" s="11"/>
      <c r="V18" s="11"/>
      <c r="W18" s="14">
        <f t="shared" si="6"/>
        <v>1.2000000000000002</v>
      </c>
      <c r="X18" s="14"/>
    </row>
    <row r="19" spans="1:24" ht="15" customHeight="1" x14ac:dyDescent="0.35">
      <c r="A19" s="3">
        <v>326039175</v>
      </c>
      <c r="B19" s="4" t="s">
        <v>155</v>
      </c>
      <c r="C19" s="4" t="s">
        <v>176</v>
      </c>
      <c r="D19" s="8">
        <f>Tabla1[[#This Row],[Porcentaje de Asistencia]]</f>
        <v>1</v>
      </c>
      <c r="E19" s="9"/>
      <c r="F19" s="10">
        <f t="shared" si="2"/>
        <v>5.8283333333333331</v>
      </c>
      <c r="G19" s="11">
        <v>10</v>
      </c>
      <c r="H19" s="11"/>
      <c r="I19" s="11"/>
      <c r="J19" s="11"/>
      <c r="K19" s="12">
        <f t="shared" si="0"/>
        <v>1.6666666666666667</v>
      </c>
      <c r="L19" s="11">
        <v>11</v>
      </c>
      <c r="M19" s="11"/>
      <c r="N19" s="2"/>
      <c r="O19" s="11">
        <f t="shared" si="3"/>
        <v>11</v>
      </c>
      <c r="P19" s="12">
        <f t="shared" si="1"/>
        <v>1.4666666666666666</v>
      </c>
      <c r="Q19" s="11">
        <v>9.6999999999999993</v>
      </c>
      <c r="R19" s="13">
        <f t="shared" si="4"/>
        <v>9.6999999999999993</v>
      </c>
      <c r="S19" s="14">
        <f t="shared" si="5"/>
        <v>1.4549999999999998</v>
      </c>
      <c r="T19" s="11">
        <v>6.2</v>
      </c>
      <c r="U19" s="11"/>
      <c r="V19" s="11"/>
      <c r="W19" s="14">
        <f t="shared" si="6"/>
        <v>1.2400000000000002</v>
      </c>
      <c r="X19" s="14"/>
    </row>
    <row r="20" spans="1:24" ht="15" customHeight="1" x14ac:dyDescent="0.35">
      <c r="A20" s="3">
        <v>326269264</v>
      </c>
      <c r="B20" s="4" t="s">
        <v>156</v>
      </c>
      <c r="C20" s="4" t="s">
        <v>177</v>
      </c>
      <c r="D20" s="8">
        <f>Tabla1[[#This Row],[Porcentaje de Asistencia]]</f>
        <v>1</v>
      </c>
      <c r="E20" s="9"/>
      <c r="F20" s="10">
        <f t="shared" si="2"/>
        <v>5.1300000000000008</v>
      </c>
      <c r="G20" s="11">
        <v>10</v>
      </c>
      <c r="H20" s="11"/>
      <c r="I20" s="11"/>
      <c r="J20" s="11"/>
      <c r="K20" s="12">
        <f t="shared" si="0"/>
        <v>1.6666666666666667</v>
      </c>
      <c r="L20" s="11">
        <v>13</v>
      </c>
      <c r="M20" s="11"/>
      <c r="N20" s="2"/>
      <c r="O20" s="11">
        <f t="shared" si="3"/>
        <v>13</v>
      </c>
      <c r="P20" s="12">
        <f t="shared" si="1"/>
        <v>1.7333333333333334</v>
      </c>
      <c r="Q20" s="11">
        <v>5.8</v>
      </c>
      <c r="R20" s="13">
        <f t="shared" si="4"/>
        <v>5.8</v>
      </c>
      <c r="S20" s="14">
        <f t="shared" si="5"/>
        <v>0.87</v>
      </c>
      <c r="T20" s="11">
        <v>4.3</v>
      </c>
      <c r="U20" s="11"/>
      <c r="V20" s="11"/>
      <c r="W20" s="14">
        <f t="shared" si="6"/>
        <v>0.86</v>
      </c>
      <c r="X20" s="14"/>
    </row>
    <row r="21" spans="1:24" ht="15" customHeight="1" x14ac:dyDescent="0.35">
      <c r="A21" s="3">
        <v>326136102</v>
      </c>
      <c r="B21" s="4" t="s">
        <v>157</v>
      </c>
      <c r="C21" s="4" t="s">
        <v>178</v>
      </c>
      <c r="D21" s="8">
        <f>Tabla1[[#This Row],[Porcentaje de Asistencia]]</f>
        <v>1</v>
      </c>
      <c r="E21" s="9"/>
      <c r="F21" s="10">
        <f>IFERROR(IF(OR(K21="NP",P21="NP",S21="NP",W21="NP"),"NP",K21+P21+S21+W21+X21),0)</f>
        <v>6.8666666666666671</v>
      </c>
      <c r="G21" s="11">
        <v>10</v>
      </c>
      <c r="H21" s="11"/>
      <c r="I21" s="11"/>
      <c r="J21" s="11"/>
      <c r="K21" s="12">
        <f t="shared" si="0"/>
        <v>1.6666666666666667</v>
      </c>
      <c r="L21" s="11">
        <v>15</v>
      </c>
      <c r="M21" s="11"/>
      <c r="N21" s="2"/>
      <c r="O21" s="11">
        <f t="shared" si="3"/>
        <v>15</v>
      </c>
      <c r="P21" s="12">
        <f t="shared" si="1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8.5</v>
      </c>
      <c r="U21" s="11"/>
      <c r="V21" s="11"/>
      <c r="W21" s="14">
        <f t="shared" si="6"/>
        <v>1.7000000000000002</v>
      </c>
      <c r="X21" s="14"/>
    </row>
    <row r="22" spans="1:24" ht="15" customHeight="1" x14ac:dyDescent="0.35">
      <c r="A22" s="3">
        <v>326284674</v>
      </c>
      <c r="B22" s="4" t="s">
        <v>158</v>
      </c>
      <c r="C22" s="4" t="s">
        <v>179</v>
      </c>
      <c r="D22" s="8">
        <f>Tabla1[[#This Row],[Porcentaje de Asistencia]]</f>
        <v>1</v>
      </c>
      <c r="E22" s="9"/>
      <c r="F22" s="10">
        <f t="shared" si="2"/>
        <v>4.16</v>
      </c>
      <c r="G22" s="11">
        <v>5</v>
      </c>
      <c r="H22" s="11"/>
      <c r="I22" s="11"/>
      <c r="J22" s="11"/>
      <c r="K22" s="12">
        <f t="shared" si="0"/>
        <v>0.83333333333333337</v>
      </c>
      <c r="L22" s="11">
        <v>11</v>
      </c>
      <c r="M22" s="11"/>
      <c r="N22" s="2"/>
      <c r="O22" s="11">
        <f t="shared" si="3"/>
        <v>11</v>
      </c>
      <c r="P22" s="12">
        <f t="shared" si="1"/>
        <v>1.4666666666666666</v>
      </c>
      <c r="Q22" s="11">
        <v>6</v>
      </c>
      <c r="R22" s="13">
        <f t="shared" si="4"/>
        <v>6</v>
      </c>
      <c r="S22" s="14">
        <f t="shared" si="5"/>
        <v>0.89999999999999991</v>
      </c>
      <c r="T22" s="11">
        <v>4.8</v>
      </c>
      <c r="U22" s="11"/>
      <c r="V22" s="11"/>
      <c r="W22" s="14">
        <f t="shared" si="6"/>
        <v>0.96</v>
      </c>
      <c r="X22" s="14"/>
    </row>
    <row r="23" spans="1:24" ht="15" customHeight="1" x14ac:dyDescent="0.35">
      <c r="A23" s="3">
        <v>326100565</v>
      </c>
      <c r="B23" s="4" t="s">
        <v>159</v>
      </c>
      <c r="C23" s="4" t="s">
        <v>180</v>
      </c>
      <c r="D23" s="8">
        <f>Tabla1[[#This Row],[Porcentaje de Asistencia]]</f>
        <v>1</v>
      </c>
      <c r="E23" s="9"/>
      <c r="F23" s="10">
        <f t="shared" si="2"/>
        <v>4.4333333333333336</v>
      </c>
      <c r="G23" s="11">
        <v>9</v>
      </c>
      <c r="H23" s="11"/>
      <c r="I23" s="11"/>
      <c r="J23" s="11"/>
      <c r="K23" s="12">
        <f t="shared" si="0"/>
        <v>1.5</v>
      </c>
      <c r="L23" s="11">
        <v>13</v>
      </c>
      <c r="M23" s="11"/>
      <c r="N23" s="2"/>
      <c r="O23" s="11">
        <f t="shared" si="3"/>
        <v>13</v>
      </c>
      <c r="P23" s="12">
        <f t="shared" si="1"/>
        <v>1.7333333333333334</v>
      </c>
      <c r="Q23" s="11">
        <v>0</v>
      </c>
      <c r="R23" s="13">
        <f t="shared" si="4"/>
        <v>0</v>
      </c>
      <c r="S23" s="14">
        <f t="shared" si="5"/>
        <v>0</v>
      </c>
      <c r="T23" s="11">
        <v>6</v>
      </c>
      <c r="U23" s="11"/>
      <c r="V23" s="11"/>
      <c r="W23" s="14">
        <f t="shared" si="6"/>
        <v>1.2000000000000002</v>
      </c>
      <c r="X23" s="14"/>
    </row>
    <row r="24" spans="1:24" ht="15" customHeight="1" x14ac:dyDescent="0.35">
      <c r="A24" s="3">
        <v>326270790</v>
      </c>
      <c r="B24" s="4" t="s">
        <v>160</v>
      </c>
      <c r="C24" s="4" t="s">
        <v>181</v>
      </c>
      <c r="D24" s="8">
        <f>Tabla1[[#This Row],[Porcentaje de Asistencia]]</f>
        <v>1</v>
      </c>
      <c r="E24" s="9"/>
      <c r="F24" s="10">
        <f t="shared" si="2"/>
        <v>4.0933333333333337</v>
      </c>
      <c r="G24" s="11">
        <v>5</v>
      </c>
      <c r="H24" s="11"/>
      <c r="I24" s="11"/>
      <c r="J24" s="11"/>
      <c r="K24" s="12">
        <f t="shared" si="0"/>
        <v>0.83333333333333337</v>
      </c>
      <c r="L24" s="11">
        <v>15</v>
      </c>
      <c r="M24" s="11"/>
      <c r="N24" s="2"/>
      <c r="O24" s="11">
        <f t="shared" si="3"/>
        <v>15</v>
      </c>
      <c r="P24" s="12">
        <f t="shared" si="1"/>
        <v>2</v>
      </c>
      <c r="Q24" s="11">
        <v>0.4</v>
      </c>
      <c r="R24" s="13">
        <f t="shared" si="4"/>
        <v>0.4</v>
      </c>
      <c r="S24" s="14">
        <f t="shared" si="5"/>
        <v>0.06</v>
      </c>
      <c r="T24" s="11">
        <v>6</v>
      </c>
      <c r="U24" s="11"/>
      <c r="V24" s="11"/>
      <c r="W24" s="14">
        <f t="shared" si="6"/>
        <v>1.2000000000000002</v>
      </c>
      <c r="X24" s="14"/>
    </row>
    <row r="25" spans="1:24" ht="15" customHeight="1" x14ac:dyDescent="0.35">
      <c r="A25" s="3">
        <v>326084814</v>
      </c>
      <c r="B25" s="4" t="s">
        <v>161</v>
      </c>
      <c r="C25" s="4" t="s">
        <v>182</v>
      </c>
      <c r="D25" s="8">
        <f>Tabla1[[#This Row],[Porcentaje de Asistencia]]</f>
        <v>0.22222222222222221</v>
      </c>
      <c r="E25" s="9"/>
      <c r="F25" s="10" t="str">
        <f t="shared" si="2"/>
        <v>NP</v>
      </c>
      <c r="G25" s="11" t="s">
        <v>194</v>
      </c>
      <c r="H25" s="11"/>
      <c r="I25" s="11"/>
      <c r="J25" s="11"/>
      <c r="K25" s="12" t="str">
        <f t="shared" si="0"/>
        <v>NP</v>
      </c>
      <c r="L25" s="11">
        <v>0</v>
      </c>
      <c r="M25" s="11"/>
      <c r="N25" s="2"/>
      <c r="O25" s="11">
        <f t="shared" si="3"/>
        <v>0</v>
      </c>
      <c r="P25" s="12">
        <f t="shared" si="1"/>
        <v>0</v>
      </c>
      <c r="Q25" s="11">
        <v>0</v>
      </c>
      <c r="R25" s="13">
        <f t="shared" si="4"/>
        <v>0</v>
      </c>
      <c r="S25" s="14">
        <f t="shared" si="5"/>
        <v>0</v>
      </c>
      <c r="T25" s="11">
        <v>0</v>
      </c>
      <c r="U25" s="11"/>
      <c r="V25" s="11"/>
      <c r="W25" s="14">
        <f t="shared" si="6"/>
        <v>0</v>
      </c>
      <c r="X25" s="14"/>
    </row>
    <row r="26" spans="1:24" ht="15" customHeight="1" x14ac:dyDescent="0.35">
      <c r="A26" s="3"/>
      <c r="C26" s="4"/>
      <c r="D26" s="19"/>
      <c r="E26" s="3"/>
      <c r="Q26" t="s">
        <v>193</v>
      </c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1" t="s">
        <v>30</v>
      </c>
      <c r="C32" s="21"/>
      <c r="D32" s="22"/>
      <c r="E32" s="22">
        <v>5</v>
      </c>
      <c r="F32" s="20"/>
    </row>
    <row r="33" spans="2:23" x14ac:dyDescent="0.35">
      <c r="B33" s="21" t="s">
        <v>17</v>
      </c>
      <c r="C33" s="21"/>
      <c r="D33" s="22"/>
      <c r="E33" s="22">
        <v>3</v>
      </c>
      <c r="F33" s="20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23</v>
      </c>
      <c r="G34" s="3"/>
    </row>
    <row r="35" spans="2:23" x14ac:dyDescent="0.35">
      <c r="B35" s="4" t="s">
        <v>19</v>
      </c>
      <c r="C35" s="4"/>
      <c r="D35" s="3"/>
      <c r="E35" s="3">
        <f>COUNTIF(E2:E24,"&gt;=6")</f>
        <v>0</v>
      </c>
      <c r="F35" s="3">
        <f>COUNTIF(F2:F24,"&gt;=6")</f>
        <v>3</v>
      </c>
      <c r="G35" s="3"/>
    </row>
    <row r="36" spans="2:23" x14ac:dyDescent="0.35">
      <c r="B36" s="4" t="s">
        <v>20</v>
      </c>
      <c r="C36" s="4"/>
      <c r="D36" s="3"/>
      <c r="E36" s="11">
        <f>COUNTIF(E2:E24,"&lt;=5.9")</f>
        <v>0</v>
      </c>
      <c r="F36" s="11">
        <f>COUNTIF(F2:F24,"&lt;6")</f>
        <v>19</v>
      </c>
      <c r="G36" s="11"/>
    </row>
    <row r="37" spans="2:23" x14ac:dyDescent="0.35">
      <c r="B37" s="4" t="s">
        <v>21</v>
      </c>
      <c r="C37" s="4"/>
      <c r="D37" s="3"/>
      <c r="E37" s="11">
        <f>COUNTIF(E2:E24, "NP")</f>
        <v>0</v>
      </c>
      <c r="F37" s="11">
        <f>COUNTIF(F2:F24, "NP")</f>
        <v>1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AVERAGE(E2:E24)</f>
        <v>#DIV/0!</v>
      </c>
      <c r="F38" s="17">
        <f>AVERAGE(F2:F24)</f>
        <v>4.7239393939393945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COUNTIF(E$2:E$24,10)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COUNTIF(E$2:E$24,9)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COUNTIF(E$2:E$24,8)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COUNTIF(E$2:E$24,7)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COUNTIF(E$2:E$24,6)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COUNTIF(E$2:E$24,5)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COUNTIF(E$2:E$24,"NP")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5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5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zoomScale="130" zoomScaleNormal="130" workbookViewId="0">
      <selection activeCell="B6" sqref="B6"/>
    </sheetView>
  </sheetViews>
  <sheetFormatPr baseColWidth="10" defaultColWidth="10.7265625" defaultRowHeight="14.5" x14ac:dyDescent="0.35"/>
  <cols>
    <col min="1" max="1" width="5.7265625" customWidth="1"/>
    <col min="2" max="2" width="34.54296875" customWidth="1"/>
    <col min="3" max="3" width="10.7265625" customWidth="1"/>
    <col min="4" max="4" width="13.7265625" style="28" hidden="1" customWidth="1"/>
    <col min="5" max="10" width="10.7265625" hidden="1" customWidth="1"/>
    <col min="11" max="11" width="10.7265625" customWidth="1"/>
    <col min="107" max="108" width="11.54296875" customWidth="1"/>
    <col min="109" max="109" width="17.453125" customWidth="1"/>
  </cols>
  <sheetData>
    <row r="1" spans="1:127" ht="22" x14ac:dyDescent="0.35">
      <c r="A1" s="23" t="s">
        <v>31</v>
      </c>
      <c r="B1" s="23" t="s">
        <v>32</v>
      </c>
      <c r="C1" s="24" t="s">
        <v>33</v>
      </c>
      <c r="D1" s="25" t="s">
        <v>134</v>
      </c>
      <c r="E1" s="25" t="s">
        <v>185</v>
      </c>
      <c r="F1" s="25" t="s">
        <v>186</v>
      </c>
      <c r="G1" s="25" t="s">
        <v>187</v>
      </c>
      <c r="H1" s="25" t="s">
        <v>188</v>
      </c>
      <c r="I1" s="25" t="s">
        <v>189</v>
      </c>
      <c r="J1" s="25" t="s">
        <v>190</v>
      </c>
      <c r="K1" s="25" t="s">
        <v>191</v>
      </c>
      <c r="L1" s="25" t="s">
        <v>192</v>
      </c>
      <c r="M1" s="25" t="s">
        <v>34</v>
      </c>
      <c r="N1" s="25" t="s">
        <v>35</v>
      </c>
      <c r="O1" s="25" t="s">
        <v>36</v>
      </c>
      <c r="P1" s="25" t="s">
        <v>37</v>
      </c>
      <c r="Q1" s="25" t="s">
        <v>38</v>
      </c>
      <c r="R1" s="25" t="s">
        <v>39</v>
      </c>
      <c r="S1" s="25" t="s">
        <v>40</v>
      </c>
      <c r="T1" s="25" t="s">
        <v>41</v>
      </c>
      <c r="U1" s="25" t="s">
        <v>42</v>
      </c>
      <c r="V1" s="25" t="s">
        <v>43</v>
      </c>
      <c r="W1" s="25" t="s">
        <v>44</v>
      </c>
      <c r="X1" s="25" t="s">
        <v>45</v>
      </c>
      <c r="Y1" s="25" t="s">
        <v>46</v>
      </c>
      <c r="Z1" s="25" t="s">
        <v>47</v>
      </c>
      <c r="AA1" s="25" t="s">
        <v>48</v>
      </c>
      <c r="AB1" s="25" t="s">
        <v>49</v>
      </c>
      <c r="AC1" s="25" t="s">
        <v>50</v>
      </c>
      <c r="AD1" s="25" t="s">
        <v>51</v>
      </c>
      <c r="AE1" s="25" t="s">
        <v>52</v>
      </c>
      <c r="AF1" s="25" t="s">
        <v>53</v>
      </c>
      <c r="AG1" s="25" t="s">
        <v>54</v>
      </c>
      <c r="AH1" s="25" t="s">
        <v>55</v>
      </c>
      <c r="AI1" s="25" t="s">
        <v>56</v>
      </c>
      <c r="AJ1" s="25" t="s">
        <v>57</v>
      </c>
      <c r="AK1" s="25" t="s">
        <v>58</v>
      </c>
      <c r="AL1" s="25" t="s">
        <v>59</v>
      </c>
      <c r="AM1" s="25" t="s">
        <v>60</v>
      </c>
      <c r="AN1" s="25" t="s">
        <v>61</v>
      </c>
      <c r="AO1" s="25" t="s">
        <v>62</v>
      </c>
      <c r="AP1" s="25" t="s">
        <v>63</v>
      </c>
      <c r="AQ1" s="25" t="s">
        <v>64</v>
      </c>
      <c r="AR1" s="25" t="s">
        <v>65</v>
      </c>
      <c r="AS1" s="25" t="s">
        <v>66</v>
      </c>
      <c r="AT1" s="25" t="s">
        <v>67</v>
      </c>
      <c r="AU1" s="25" t="s">
        <v>68</v>
      </c>
      <c r="AV1" s="25" t="s">
        <v>69</v>
      </c>
      <c r="AW1" s="25" t="s">
        <v>70</v>
      </c>
      <c r="AX1" s="25" t="s">
        <v>71</v>
      </c>
      <c r="AY1" s="25" t="s">
        <v>72</v>
      </c>
      <c r="AZ1" s="25" t="s">
        <v>73</v>
      </c>
      <c r="BA1" s="25" t="s">
        <v>74</v>
      </c>
      <c r="BB1" s="25" t="s">
        <v>75</v>
      </c>
      <c r="BC1" s="25" t="s">
        <v>76</v>
      </c>
      <c r="BD1" s="25" t="s">
        <v>77</v>
      </c>
      <c r="BE1" s="25" t="s">
        <v>78</v>
      </c>
      <c r="BF1" s="25" t="s">
        <v>79</v>
      </c>
      <c r="BG1" s="25" t="s">
        <v>80</v>
      </c>
      <c r="BH1" s="25" t="s">
        <v>81</v>
      </c>
      <c r="BI1" s="25" t="s">
        <v>82</v>
      </c>
      <c r="BJ1" s="25" t="s">
        <v>83</v>
      </c>
      <c r="BK1" s="25" t="s">
        <v>84</v>
      </c>
      <c r="BL1" s="25" t="s">
        <v>85</v>
      </c>
      <c r="BM1" s="25" t="s">
        <v>86</v>
      </c>
      <c r="BN1" s="25" t="s">
        <v>87</v>
      </c>
      <c r="BO1" s="25" t="s">
        <v>88</v>
      </c>
      <c r="BP1" s="25" t="s">
        <v>89</v>
      </c>
      <c r="BQ1" s="25" t="s">
        <v>90</v>
      </c>
      <c r="BR1" s="25" t="s">
        <v>91</v>
      </c>
      <c r="BS1" s="25" t="s">
        <v>92</v>
      </c>
      <c r="BT1" s="25" t="s">
        <v>93</v>
      </c>
      <c r="BU1" s="25" t="s">
        <v>94</v>
      </c>
      <c r="BV1" s="25" t="s">
        <v>95</v>
      </c>
      <c r="BW1" s="25" t="s">
        <v>96</v>
      </c>
      <c r="BX1" s="25" t="s">
        <v>97</v>
      </c>
      <c r="BY1" s="25" t="s">
        <v>98</v>
      </c>
      <c r="BZ1" s="25" t="s">
        <v>99</v>
      </c>
      <c r="CA1" s="25" t="s">
        <v>100</v>
      </c>
      <c r="CB1" s="25" t="s">
        <v>101</v>
      </c>
      <c r="CC1" s="25" t="s">
        <v>102</v>
      </c>
      <c r="CD1" s="25" t="s">
        <v>103</v>
      </c>
      <c r="CE1" s="25" t="s">
        <v>104</v>
      </c>
      <c r="CF1" s="25" t="s">
        <v>105</v>
      </c>
      <c r="CG1" s="25" t="s">
        <v>106</v>
      </c>
      <c r="CH1" s="25" t="s">
        <v>107</v>
      </c>
      <c r="CI1" s="25" t="s">
        <v>108</v>
      </c>
      <c r="CJ1" s="25" t="s">
        <v>109</v>
      </c>
      <c r="CK1" s="25" t="s">
        <v>110</v>
      </c>
      <c r="CL1" s="25" t="s">
        <v>111</v>
      </c>
      <c r="CM1" s="25" t="s">
        <v>112</v>
      </c>
      <c r="CN1" s="25" t="s">
        <v>113</v>
      </c>
      <c r="CO1" s="25" t="s">
        <v>114</v>
      </c>
      <c r="CP1" s="25" t="s">
        <v>115</v>
      </c>
      <c r="CQ1" s="25" t="s">
        <v>116</v>
      </c>
      <c r="CR1" s="25" t="s">
        <v>117</v>
      </c>
      <c r="CS1" s="25" t="s">
        <v>118</v>
      </c>
      <c r="CT1" s="25" t="s">
        <v>119</v>
      </c>
      <c r="CU1" s="25" t="s">
        <v>120</v>
      </c>
      <c r="CV1" s="25" t="s">
        <v>121</v>
      </c>
      <c r="CW1" s="25" t="s">
        <v>122</v>
      </c>
      <c r="CX1" s="25" t="s">
        <v>123</v>
      </c>
      <c r="CY1" s="25" t="s">
        <v>124</v>
      </c>
      <c r="CZ1" s="25" t="s">
        <v>125</v>
      </c>
      <c r="DA1" s="25" t="s">
        <v>126</v>
      </c>
      <c r="DB1" s="25" t="s">
        <v>127</v>
      </c>
      <c r="DC1" s="25" t="s">
        <v>128</v>
      </c>
      <c r="DD1" s="25" t="s">
        <v>129</v>
      </c>
      <c r="DE1" s="24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138</v>
      </c>
      <c r="C2" s="26">
        <f>SUMIF(Tabla1[[#This Row],[Khan Academy]:[Columna11]], 1,Tabla1[[#This Row],[Khan Academy]:[Columna11]])/COUNTA(Tabla1[[#This Row],[Khan Academy]:[Columna11]])</f>
        <v>0.77777777777777779</v>
      </c>
      <c r="D2" s="27">
        <v>2</v>
      </c>
      <c r="E2" s="27">
        <v>1</v>
      </c>
      <c r="F2" s="27">
        <v>1</v>
      </c>
      <c r="G2" s="27">
        <v>1</v>
      </c>
      <c r="H2" s="27">
        <v>1</v>
      </c>
      <c r="I2" s="27">
        <v>1</v>
      </c>
      <c r="J2" s="27">
        <v>2</v>
      </c>
      <c r="K2" s="27">
        <v>1</v>
      </c>
      <c r="L2" s="27">
        <v>1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">
        <f>SUMIF(Tabla1[[#This Row],[Khan Academy]:[Columna11]], 1,Tabla1[[#This Row],[Khan Academy]:[Columna11]])</f>
        <v>7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139</v>
      </c>
      <c r="C3" s="26">
        <f>SUMIF(Tabla1[[#This Row],[Khan Academy]:[Columna11]], 1,Tabla1[[#This Row],[Khan Academy]:[Columna11]])/COUNTA(Tabla1[[#This Row],[Khan Academy]:[Columna11]])</f>
        <v>0.1111111111111111</v>
      </c>
      <c r="D3" s="27">
        <v>2</v>
      </c>
      <c r="E3" s="27">
        <v>1</v>
      </c>
      <c r="F3" s="27">
        <v>2</v>
      </c>
      <c r="G3" s="27">
        <v>2</v>
      </c>
      <c r="H3" s="27">
        <v>2</v>
      </c>
      <c r="I3" s="27">
        <v>2</v>
      </c>
      <c r="J3" s="27">
        <v>2</v>
      </c>
      <c r="K3" s="27">
        <v>2</v>
      </c>
      <c r="L3" s="27">
        <v>2</v>
      </c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">
        <f>SUMIF(Tabla1[[#This Row],[Khan Academy]:[Columna11]], 1,Tabla1[[#This Row],[Khan Academy]:[Columna11]])</f>
        <v>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140</v>
      </c>
      <c r="C4" s="26">
        <f>SUMIF(Tabla1[[#This Row],[Khan Academy]:[Columna11]], 1,Tabla1[[#This Row],[Khan Academy]:[Columna11]])/COUNTA(Tabla1[[#This Row],[Khan Academy]:[Columna11]])</f>
        <v>0.77777777777777779</v>
      </c>
      <c r="D4" s="27">
        <v>1</v>
      </c>
      <c r="E4" s="27">
        <v>1</v>
      </c>
      <c r="F4" s="27">
        <v>2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2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">
        <f>SUMIF(Tabla1[[#This Row],[Khan Academy]:[Columna11]], 1,Tabla1[[#This Row],[Khan Academy]:[Columna11]])</f>
        <v>7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141</v>
      </c>
      <c r="C5" s="26">
        <f>SUMIF(Tabla1[[#This Row],[Khan Academy]:[Columna11]], 1,Tabla1[[#This Row],[Khan Academy]:[Columna11]])/COUNTA(Tabla1[[#This Row],[Khan Academy]:[Columna11]])</f>
        <v>1</v>
      </c>
      <c r="D5" s="27">
        <v>1</v>
      </c>
      <c r="E5" s="27">
        <v>1</v>
      </c>
      <c r="F5" s="27">
        <v>1</v>
      </c>
      <c r="G5" s="27">
        <v>1</v>
      </c>
      <c r="H5" s="27">
        <v>1</v>
      </c>
      <c r="I5" s="27">
        <v>1</v>
      </c>
      <c r="J5" s="27">
        <v>1</v>
      </c>
      <c r="K5" s="27">
        <v>1</v>
      </c>
      <c r="L5" s="27">
        <v>1</v>
      </c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">
        <f>SUMIF(Tabla1[[#This Row],[Khan Academy]:[Columna11]], 1,Tabla1[[#This Row],[Khan Academy]:[Columna11]])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142</v>
      </c>
      <c r="C6" s="26">
        <f>SUMIF(Tabla1[[#This Row],[Khan Academy]:[Columna11]], 1,Tabla1[[#This Row],[Khan Academy]:[Columna11]])/COUNTA(Tabla1[[#This Row],[Khan Academy]:[Columna11]])</f>
        <v>1</v>
      </c>
      <c r="D6" s="27">
        <v>1</v>
      </c>
      <c r="E6" s="27">
        <v>1</v>
      </c>
      <c r="F6" s="27">
        <v>1</v>
      </c>
      <c r="G6" s="27">
        <v>1</v>
      </c>
      <c r="H6" s="27">
        <v>1</v>
      </c>
      <c r="I6" s="27">
        <v>1</v>
      </c>
      <c r="J6" s="27">
        <v>1</v>
      </c>
      <c r="K6" s="27">
        <v>1</v>
      </c>
      <c r="L6" s="27">
        <v>1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">
        <f>SUMIF(Tabla1[[#This Row],[Khan Academy]:[Columna11]], 1,Tabla1[[#This Row],[Khan Academy]:[Columna11]])</f>
        <v>9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143</v>
      </c>
      <c r="C7" s="26">
        <f>SUMIF(Tabla1[[#This Row],[Khan Academy]:[Columna11]], 1,Tabla1[[#This Row],[Khan Academy]:[Columna11]])/COUNTA(Tabla1[[#This Row],[Khan Academy]:[Columna11]])</f>
        <v>0.88888888888888884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  <c r="J7" s="27">
        <v>1</v>
      </c>
      <c r="K7" s="27">
        <v>2</v>
      </c>
      <c r="L7" s="27">
        <v>1</v>
      </c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">
        <f>SUMIF(Tabla1[[#This Row],[Khan Academy]:[Columna11]], 1,Tabla1[[#This Row],[Khan Academy]:[Columna11]])</f>
        <v>8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144</v>
      </c>
      <c r="C8" s="26">
        <f>SUMIF(Tabla1[[#This Row],[Khan Academy]:[Columna11]], 1,Tabla1[[#This Row],[Khan Academy]:[Columna11]])/COUNTA(Tabla1[[#This Row],[Khan Academy]:[Columna11]])</f>
        <v>1</v>
      </c>
      <c r="D8" s="27">
        <v>1</v>
      </c>
      <c r="E8" s="27">
        <v>1</v>
      </c>
      <c r="F8" s="27">
        <v>1</v>
      </c>
      <c r="G8" s="27">
        <v>1</v>
      </c>
      <c r="H8" s="27">
        <v>1</v>
      </c>
      <c r="I8" s="27">
        <v>1</v>
      </c>
      <c r="J8" s="27">
        <v>1</v>
      </c>
      <c r="K8" s="27">
        <v>1</v>
      </c>
      <c r="L8" s="27">
        <v>1</v>
      </c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">
        <f>SUMIF(Tabla1[[#This Row],[Khan Academy]:[Columna11]], 1,Tabla1[[#This Row],[Khan Academy]:[Columna11]])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145</v>
      </c>
      <c r="C9" s="26">
        <f>SUMIF(Tabla1[[#This Row],[Khan Academy]:[Columna11]], 1,Tabla1[[#This Row],[Khan Academy]:[Columna11]])/COUNTA(Tabla1[[#This Row],[Khan Academy]:[Columna11]])</f>
        <v>0.77777777777777779</v>
      </c>
      <c r="D9" s="27">
        <v>1</v>
      </c>
      <c r="E9" s="27">
        <v>1</v>
      </c>
      <c r="F9" s="27">
        <v>1</v>
      </c>
      <c r="G9" s="27">
        <v>1</v>
      </c>
      <c r="H9" s="27">
        <v>2</v>
      </c>
      <c r="I9" s="27">
        <v>1</v>
      </c>
      <c r="J9" s="27">
        <v>2</v>
      </c>
      <c r="K9" s="27">
        <v>1</v>
      </c>
      <c r="L9" s="27">
        <v>1</v>
      </c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">
        <f>SUMIF(Tabla1[[#This Row],[Khan Academy]:[Columna11]], 1,Tabla1[[#This Row],[Khan Academy]:[Columna11]])</f>
        <v>7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146</v>
      </c>
      <c r="C10" s="26">
        <f>SUMIF(Tabla1[[#This Row],[Khan Academy]:[Columna11]], 1,Tabla1[[#This Row],[Khan Academy]:[Columna11]])/COUNTA(Tabla1[[#This Row],[Khan Academy]:[Columna11]])</f>
        <v>0.77777777777777779</v>
      </c>
      <c r="D10" s="27">
        <v>2</v>
      </c>
      <c r="E10" s="27">
        <v>1</v>
      </c>
      <c r="F10" s="27">
        <v>1</v>
      </c>
      <c r="G10" s="27">
        <v>1</v>
      </c>
      <c r="H10" s="27">
        <v>1</v>
      </c>
      <c r="I10" s="27">
        <v>2</v>
      </c>
      <c r="J10" s="27">
        <v>1</v>
      </c>
      <c r="K10" s="27">
        <v>1</v>
      </c>
      <c r="L10" s="27">
        <v>1</v>
      </c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">
        <f>SUMIF(Tabla1[[#This Row],[Khan Academy]:[Columna11]], 1,Tabla1[[#This Row],[Khan Academy]:[Columna11]])</f>
        <v>7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147</v>
      </c>
      <c r="C11" s="26">
        <f>SUMIF(Tabla1[[#This Row],[Khan Academy]:[Columna11]], 1,Tabla1[[#This Row],[Khan Academy]:[Columna11]])/COUNTA(Tabla1[[#This Row],[Khan Academy]:[Columna11]])</f>
        <v>1</v>
      </c>
      <c r="D11" s="27">
        <v>1</v>
      </c>
      <c r="E11" s="27">
        <v>1</v>
      </c>
      <c r="F11" s="27">
        <v>1</v>
      </c>
      <c r="G11" s="27">
        <v>1</v>
      </c>
      <c r="H11" s="27">
        <v>1</v>
      </c>
      <c r="I11" s="27">
        <v>1</v>
      </c>
      <c r="J11" s="27">
        <v>1</v>
      </c>
      <c r="K11" s="27">
        <v>1</v>
      </c>
      <c r="L11" s="27">
        <v>1</v>
      </c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">
        <f>SUMIF(Tabla1[[#This Row],[Khan Academy]:[Columna11]], 1,Tabla1[[#This Row],[Khan Academy]:[Columna11]])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148</v>
      </c>
      <c r="C12" s="26">
        <f>SUMIF(Tabla1[[#This Row],[Khan Academy]:[Columna11]], 1,Tabla1[[#This Row],[Khan Academy]:[Columna11]])/COUNTA(Tabla1[[#This Row],[Khan Academy]:[Columna11]])</f>
        <v>0.77777777777777779</v>
      </c>
      <c r="D12" s="27">
        <v>1</v>
      </c>
      <c r="E12" s="27">
        <v>1</v>
      </c>
      <c r="F12" s="27">
        <v>1</v>
      </c>
      <c r="G12" s="27">
        <v>1</v>
      </c>
      <c r="H12" s="27">
        <v>2</v>
      </c>
      <c r="I12" s="27">
        <v>1</v>
      </c>
      <c r="J12" s="27">
        <v>2</v>
      </c>
      <c r="K12" s="27">
        <v>1</v>
      </c>
      <c r="L12" s="27">
        <v>1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">
        <f>SUMIF(Tabla1[[#This Row],[Khan Academy]:[Columna11]], 1,Tabla1[[#This Row],[Khan Academy]:[Columna11]])</f>
        <v>7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149</v>
      </c>
      <c r="C13" s="26">
        <f>SUMIF(Tabla1[[#This Row],[Khan Academy]:[Columna11]], 1,Tabla1[[#This Row],[Khan Academy]:[Columna11]])/COUNTA(Tabla1[[#This Row],[Khan Academy]:[Columna11]])</f>
        <v>0.77777777777777779</v>
      </c>
      <c r="D13" s="27">
        <v>1</v>
      </c>
      <c r="E13" s="27">
        <v>2</v>
      </c>
      <c r="F13" s="27">
        <v>1</v>
      </c>
      <c r="G13" s="27">
        <v>1</v>
      </c>
      <c r="H13" s="27">
        <v>2</v>
      </c>
      <c r="I13" s="27">
        <v>1</v>
      </c>
      <c r="J13" s="27">
        <v>1</v>
      </c>
      <c r="K13" s="27">
        <v>1</v>
      </c>
      <c r="L13" s="27">
        <v>1</v>
      </c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">
        <f>SUMIF(Tabla1[[#This Row],[Khan Academy]:[Columna11]], 1,Tabla1[[#This Row],[Khan Academy]:[Columna11]])</f>
        <v>7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150</v>
      </c>
      <c r="C14" s="26">
        <f>SUMIF(Tabla1[[#This Row],[Khan Academy]:[Columna11]], 1,Tabla1[[#This Row],[Khan Academy]:[Columna11]])/COUNTA(Tabla1[[#This Row],[Khan Academy]:[Columna11]])</f>
        <v>1</v>
      </c>
      <c r="D14" s="27">
        <v>1</v>
      </c>
      <c r="E14" s="27">
        <v>1</v>
      </c>
      <c r="F14" s="27">
        <v>1</v>
      </c>
      <c r="G14" s="27">
        <v>1</v>
      </c>
      <c r="H14" s="27">
        <v>1</v>
      </c>
      <c r="I14" s="27">
        <v>1</v>
      </c>
      <c r="J14" s="27">
        <v>1</v>
      </c>
      <c r="K14" s="27">
        <v>1</v>
      </c>
      <c r="L14" s="27">
        <v>1</v>
      </c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">
        <f>SUMIF(Tabla1[[#This Row],[Khan Academy]:[Columna11]], 1,Tabla1[[#This Row],[Khan Academy]:[Columna11]])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151</v>
      </c>
      <c r="C15" s="26">
        <f>SUMIF(Tabla1[[#This Row],[Khan Academy]:[Columna11]], 1,Tabla1[[#This Row],[Khan Academy]:[Columna11]])/COUNTA(Tabla1[[#This Row],[Khan Academy]:[Columna11]])</f>
        <v>1</v>
      </c>
      <c r="D15" s="27">
        <v>1</v>
      </c>
      <c r="E15" s="27">
        <v>1</v>
      </c>
      <c r="F15" s="27">
        <v>1</v>
      </c>
      <c r="G15" s="27">
        <v>1</v>
      </c>
      <c r="H15" s="27">
        <v>1</v>
      </c>
      <c r="I15" s="27">
        <v>1</v>
      </c>
      <c r="J15" s="27">
        <v>1</v>
      </c>
      <c r="K15" s="27">
        <v>1</v>
      </c>
      <c r="L15" s="27">
        <v>1</v>
      </c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">
        <f>SUMIF(Tabla1[[#This Row],[Khan Academy]:[Columna11]], 1,Tabla1[[#This Row],[Khan Academy]:[Columna11]])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152</v>
      </c>
      <c r="C16" s="26">
        <f>SUMIF(Tabla1[[#This Row],[Khan Academy]:[Columna11]], 1,Tabla1[[#This Row],[Khan Academy]:[Columna11]])/COUNTA(Tabla1[[#This Row],[Khan Academy]:[Columna11]])</f>
        <v>0.88888888888888884</v>
      </c>
      <c r="D16" s="27">
        <v>2</v>
      </c>
      <c r="E16" s="27">
        <v>1</v>
      </c>
      <c r="F16" s="27">
        <v>1</v>
      </c>
      <c r="G16" s="27">
        <v>1</v>
      </c>
      <c r="H16" s="27">
        <v>1</v>
      </c>
      <c r="I16" s="27">
        <v>1</v>
      </c>
      <c r="J16" s="27">
        <v>1</v>
      </c>
      <c r="K16" s="27">
        <v>1</v>
      </c>
      <c r="L16" s="27">
        <v>1</v>
      </c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">
        <f>SUMIF(Tabla1[[#This Row],[Khan Academy]:[Columna11]], 1,Tabla1[[#This Row],[Khan Academy]:[Columna11]])</f>
        <v>8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153</v>
      </c>
      <c r="C17" s="26">
        <f>SUMIF(Tabla1[[#This Row],[Khan Academy]:[Columna11]], 1,Tabla1[[#This Row],[Khan Academy]:[Columna11]])/COUNTA(Tabla1[[#This Row],[Khan Academy]:[Columna11]])</f>
        <v>1</v>
      </c>
      <c r="D17" s="27">
        <v>1</v>
      </c>
      <c r="E17" s="27">
        <v>1</v>
      </c>
      <c r="F17" s="27">
        <v>1</v>
      </c>
      <c r="G17" s="27">
        <v>1</v>
      </c>
      <c r="H17" s="27">
        <v>1</v>
      </c>
      <c r="I17" s="27">
        <v>1</v>
      </c>
      <c r="J17" s="27">
        <v>1</v>
      </c>
      <c r="K17" s="27">
        <v>1</v>
      </c>
      <c r="L17" s="27">
        <v>1</v>
      </c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">
        <f>SUMIF(Tabla1[[#This Row],[Khan Academy]:[Columna11]], 1,Tabla1[[#This Row],[Khan Academy]:[Columna11]])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154</v>
      </c>
      <c r="C18" s="26">
        <f>SUMIF(Tabla1[[#This Row],[Khan Academy]:[Columna11]], 1,Tabla1[[#This Row],[Khan Academy]:[Columna11]])/COUNTA(Tabla1[[#This Row],[Khan Academy]:[Columna11]])</f>
        <v>1</v>
      </c>
      <c r="D18" s="27">
        <v>1</v>
      </c>
      <c r="E18" s="27">
        <v>1</v>
      </c>
      <c r="F18" s="27">
        <v>1</v>
      </c>
      <c r="G18" s="27">
        <v>1</v>
      </c>
      <c r="H18" s="27">
        <v>1</v>
      </c>
      <c r="I18" s="27">
        <v>1</v>
      </c>
      <c r="J18" s="27">
        <v>1</v>
      </c>
      <c r="K18" s="27">
        <v>1</v>
      </c>
      <c r="L18" s="27">
        <v>1</v>
      </c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">
        <f>SUMIF(Tabla1[[#This Row],[Khan Academy]:[Columna11]], 1,Tabla1[[#This Row],[Khan Academy]:[Columna11]])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155</v>
      </c>
      <c r="C19" s="26">
        <f>SUMIF(Tabla1[[#This Row],[Khan Academy]:[Columna11]], 1,Tabla1[[#This Row],[Khan Academy]:[Columna11]])/COUNTA(Tabla1[[#This Row],[Khan Academy]:[Columna11]])</f>
        <v>1</v>
      </c>
      <c r="D19" s="27">
        <v>1</v>
      </c>
      <c r="E19" s="27">
        <v>1</v>
      </c>
      <c r="F19" s="27">
        <v>1</v>
      </c>
      <c r="G19" s="27">
        <v>1</v>
      </c>
      <c r="H19" s="27">
        <v>1</v>
      </c>
      <c r="I19" s="27">
        <v>1</v>
      </c>
      <c r="J19" s="27">
        <v>1</v>
      </c>
      <c r="K19" s="27">
        <v>1</v>
      </c>
      <c r="L19" s="27">
        <v>1</v>
      </c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">
        <f>SUMIF(Tabla1[[#This Row],[Khan Academy]:[Columna11]], 1,Tabla1[[#This Row],[Khan Academy]:[Columna11]])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156</v>
      </c>
      <c r="C20" s="26">
        <f>SUMIF(Tabla1[[#This Row],[Khan Academy]:[Columna11]], 1,Tabla1[[#This Row],[Khan Academy]:[Columna11]])/COUNTA(Tabla1[[#This Row],[Khan Academy]:[Columna11]])</f>
        <v>1</v>
      </c>
      <c r="D20" s="27">
        <v>1</v>
      </c>
      <c r="E20" s="27">
        <v>1</v>
      </c>
      <c r="F20" s="27">
        <v>1</v>
      </c>
      <c r="G20" s="27">
        <v>1</v>
      </c>
      <c r="H20" s="27">
        <v>1</v>
      </c>
      <c r="I20" s="27">
        <v>1</v>
      </c>
      <c r="J20" s="27">
        <v>1</v>
      </c>
      <c r="K20" s="27">
        <v>1</v>
      </c>
      <c r="L20" s="27">
        <v>1</v>
      </c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">
        <f>SUMIF(Tabla1[[#This Row],[Khan Academy]:[Columna11]], 1,Tabla1[[#This Row],[Khan Academy]:[Columna11]])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29">
        <v>20</v>
      </c>
      <c r="B21" s="29" t="s">
        <v>157</v>
      </c>
      <c r="C21" s="30">
        <f>SUMIF(Tabla1[[#This Row],[Khan Academy]:[Columna11]], 1,Tabla1[[#This Row],[Khan Academy]:[Columna11]])/COUNTA(Tabla1[[#This Row],[Khan Academy]:[Columna11]])</f>
        <v>1</v>
      </c>
      <c r="D21" s="27">
        <v>1</v>
      </c>
      <c r="E21" s="27">
        <v>1</v>
      </c>
      <c r="F21" s="27">
        <v>1</v>
      </c>
      <c r="G21" s="27">
        <v>1</v>
      </c>
      <c r="H21" s="27">
        <v>1</v>
      </c>
      <c r="I21" s="27">
        <v>1</v>
      </c>
      <c r="J21" s="27">
        <v>1</v>
      </c>
      <c r="K21" s="27">
        <v>1</v>
      </c>
      <c r="L21" s="27">
        <v>1</v>
      </c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">
        <f>SUMIF(Tabla1[[#This Row],[Khan Academy]:[Columna11]], 1,Tabla1[[#This Row],[Khan Academy]:[Columna11]])</f>
        <v>9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158</v>
      </c>
      <c r="C22" s="26">
        <f>SUMIF(Tabla1[[#This Row],[Khan Academy]:[Columna11]], 1,Tabla1[[#This Row],[Khan Academy]:[Columna11]])/COUNTA(Tabla1[[#This Row],[Khan Academy]:[Columna11]])</f>
        <v>1</v>
      </c>
      <c r="D22" s="27">
        <v>1</v>
      </c>
      <c r="E22" s="27">
        <v>1</v>
      </c>
      <c r="F22" s="27">
        <v>1</v>
      </c>
      <c r="G22" s="27">
        <v>1</v>
      </c>
      <c r="H22" s="27">
        <v>1</v>
      </c>
      <c r="I22" s="27">
        <v>1</v>
      </c>
      <c r="J22" s="27">
        <v>1</v>
      </c>
      <c r="K22" s="27">
        <v>1</v>
      </c>
      <c r="L22" s="27">
        <v>1</v>
      </c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">
        <f>SUMIF(Tabla1[[#This Row],[Khan Academy]:[Columna11]], 1,Tabla1[[#This Row],[Khan Academy]:[Columna11]])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159</v>
      </c>
      <c r="C23" s="26">
        <f>SUMIF(Tabla1[[#This Row],[Khan Academy]:[Columna11]], 1,Tabla1[[#This Row],[Khan Academy]:[Columna11]])/COUNTA(Tabla1[[#This Row],[Khan Academy]:[Columna11]])</f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">
        <f>SUMIF(Tabla1[[#This Row],[Khan Academy]:[Columna11]], 1,Tabla1[[#This Row],[Khan Academy]:[Columna11]])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160</v>
      </c>
      <c r="C24" s="26">
        <f>SUMIF(Tabla1[[#This Row],[Khan Academy]:[Columna11]], 1,Tabla1[[#This Row],[Khan Academy]:[Columna11]])/COUNTA(Tabla1[[#This Row],[Khan Academy]:[Columna11]])</f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">
        <f>SUMIF(Tabla1[[#This Row],[Khan Academy]:[Columna11]], 1,Tabla1[[#This Row],[Khan Academy]:[Columna11]])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161</v>
      </c>
      <c r="C25" s="26">
        <f>SUMIF(Tabla1[[#This Row],[Khan Academy]:[Columna11]], 1,Tabla1[[#This Row],[Khan Academy]:[Columna11]])/COUNTA(Tabla1[[#This Row],[Khan Academy]:[Columna11]])</f>
        <v>0.22222222222222221</v>
      </c>
      <c r="D25" s="27">
        <v>1</v>
      </c>
      <c r="E25" s="27">
        <v>1</v>
      </c>
      <c r="F25" s="27">
        <v>2</v>
      </c>
      <c r="G25" s="27">
        <v>2</v>
      </c>
      <c r="H25" s="27">
        <v>2</v>
      </c>
      <c r="I25" s="27">
        <v>2</v>
      </c>
      <c r="J25" s="27">
        <v>2</v>
      </c>
      <c r="K25" s="27">
        <v>2</v>
      </c>
      <c r="L25" s="27">
        <v>2</v>
      </c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">
        <f>SUMIF(Tabla1[[#This Row],[Khan Academy]:[Columna11]], 1,Tabla1[[#This Row],[Khan Academy]:[Columna11]])</f>
        <v>2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2026-10-08T16:44:27Z</dcterms:modified>
</cp:coreProperties>
</file>